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96fe8b85c11756/Desktop/Gaining Fate リメイク/"/>
    </mc:Choice>
  </mc:AlternateContent>
  <xr:revisionPtr revIDLastSave="334" documentId="13_ncr:1_{84889EA8-B1B6-434F-8428-9E56E81EB308}" xr6:coauthVersionLast="47" xr6:coauthVersionMax="47" xr10:uidLastSave="{D0FA4CE1-CD9A-4089-AEF1-EC0E3C5BF0EE}"/>
  <bookViews>
    <workbookView minimized="1" xWindow="9192" yWindow="6012" windowWidth="6000" windowHeight="4800" activeTab="8" xr2:uid="{13B4183B-4824-4F6F-932C-3C180FFCF26D}"/>
  </bookViews>
  <sheets>
    <sheet name="能力" sheetId="1" r:id="rId1"/>
    <sheet name="成長率" sheetId="2" r:id="rId2"/>
    <sheet name="転生後成長率" sheetId="5" r:id="rId3"/>
    <sheet name="掲載用" sheetId="7" r:id="rId4"/>
    <sheet name="転生後能力" sheetId="4" r:id="rId5"/>
    <sheet name="期待値" sheetId="3" r:id="rId6"/>
    <sheet name="全部" sheetId="8" r:id="rId7"/>
    <sheet name="CC" sheetId="9" r:id="rId8"/>
    <sheet name="Sheet1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9" l="1"/>
  <c r="M20" i="9"/>
  <c r="M17" i="9"/>
  <c r="O19" i="2"/>
  <c r="O18" i="2"/>
  <c r="D24" i="9"/>
  <c r="E23" i="9"/>
  <c r="C24" i="9"/>
  <c r="E24" i="9"/>
  <c r="F24" i="9"/>
  <c r="G24" i="9"/>
  <c r="H24" i="9"/>
  <c r="I24" i="9"/>
  <c r="J24" i="9"/>
  <c r="K24" i="9"/>
  <c r="L24" i="9"/>
  <c r="C25" i="9"/>
  <c r="D25" i="9"/>
  <c r="E25" i="9"/>
  <c r="F25" i="9"/>
  <c r="G25" i="9"/>
  <c r="H25" i="9"/>
  <c r="I25" i="9"/>
  <c r="J25" i="9"/>
  <c r="K25" i="9"/>
  <c r="L25" i="9"/>
  <c r="C26" i="9"/>
  <c r="D26" i="9"/>
  <c r="E26" i="9"/>
  <c r="F26" i="9"/>
  <c r="G26" i="9"/>
  <c r="H26" i="9"/>
  <c r="I26" i="9"/>
  <c r="J26" i="9"/>
  <c r="K26" i="9"/>
  <c r="L26" i="9"/>
  <c r="C27" i="9"/>
  <c r="D27" i="9"/>
  <c r="E27" i="9"/>
  <c r="F27" i="9"/>
  <c r="G27" i="9"/>
  <c r="H27" i="9"/>
  <c r="I27" i="9"/>
  <c r="J27" i="9"/>
  <c r="K27" i="9"/>
  <c r="L27" i="9"/>
  <c r="C28" i="9"/>
  <c r="D28" i="9"/>
  <c r="E28" i="9"/>
  <c r="F28" i="9"/>
  <c r="G28" i="9"/>
  <c r="H28" i="9"/>
  <c r="I28" i="9"/>
  <c r="J28" i="9"/>
  <c r="K28" i="9"/>
  <c r="L28" i="9"/>
  <c r="C29" i="9"/>
  <c r="D29" i="9"/>
  <c r="E29" i="9"/>
  <c r="F29" i="9"/>
  <c r="G29" i="9"/>
  <c r="H29" i="9"/>
  <c r="I29" i="9"/>
  <c r="J29" i="9"/>
  <c r="K29" i="9"/>
  <c r="L29" i="9"/>
  <c r="C30" i="9"/>
  <c r="D30" i="9"/>
  <c r="E30" i="9"/>
  <c r="F30" i="9"/>
  <c r="G30" i="9"/>
  <c r="H30" i="9"/>
  <c r="I30" i="9"/>
  <c r="J30" i="9"/>
  <c r="K30" i="9"/>
  <c r="L30" i="9"/>
  <c r="C31" i="9"/>
  <c r="D31" i="9"/>
  <c r="E31" i="9"/>
  <c r="F31" i="9"/>
  <c r="G31" i="9"/>
  <c r="H31" i="9"/>
  <c r="I31" i="9"/>
  <c r="J31" i="9"/>
  <c r="K31" i="9"/>
  <c r="L31" i="9"/>
  <c r="C32" i="9"/>
  <c r="D32" i="9"/>
  <c r="E32" i="9"/>
  <c r="F32" i="9"/>
  <c r="G32" i="9"/>
  <c r="H32" i="9"/>
  <c r="I32" i="9"/>
  <c r="J32" i="9"/>
  <c r="K32" i="9"/>
  <c r="L32" i="9"/>
  <c r="C33" i="9"/>
  <c r="D33" i="9"/>
  <c r="E33" i="9"/>
  <c r="F33" i="9"/>
  <c r="G33" i="9"/>
  <c r="H33" i="9"/>
  <c r="I33" i="9"/>
  <c r="J33" i="9"/>
  <c r="K33" i="9"/>
  <c r="L33" i="9"/>
  <c r="C34" i="9"/>
  <c r="D34" i="9"/>
  <c r="E34" i="9"/>
  <c r="F34" i="9"/>
  <c r="G34" i="9"/>
  <c r="H34" i="9"/>
  <c r="I34" i="9"/>
  <c r="J34" i="9"/>
  <c r="K34" i="9"/>
  <c r="L34" i="9"/>
  <c r="C35" i="9"/>
  <c r="D35" i="9"/>
  <c r="E35" i="9"/>
  <c r="F35" i="9"/>
  <c r="G35" i="9"/>
  <c r="H35" i="9"/>
  <c r="I35" i="9"/>
  <c r="J35" i="9"/>
  <c r="K35" i="9"/>
  <c r="L35" i="9"/>
  <c r="C36" i="9"/>
  <c r="D36" i="9"/>
  <c r="E36" i="9"/>
  <c r="F36" i="9"/>
  <c r="G36" i="9"/>
  <c r="H36" i="9"/>
  <c r="I36" i="9"/>
  <c r="J36" i="9"/>
  <c r="K36" i="9"/>
  <c r="L36" i="9"/>
  <c r="C37" i="9"/>
  <c r="D37" i="9"/>
  <c r="E37" i="9"/>
  <c r="F37" i="9"/>
  <c r="G37" i="9"/>
  <c r="H37" i="9"/>
  <c r="I37" i="9"/>
  <c r="J37" i="9"/>
  <c r="K37" i="9"/>
  <c r="L37" i="9"/>
  <c r="D23" i="9"/>
  <c r="F23" i="9"/>
  <c r="G23" i="9"/>
  <c r="H23" i="9"/>
  <c r="I23" i="9"/>
  <c r="J23" i="9"/>
  <c r="K23" i="9"/>
  <c r="L23" i="9"/>
  <c r="C23" i="9"/>
  <c r="M4" i="9"/>
  <c r="M5" i="9"/>
  <c r="M6" i="9"/>
  <c r="M7" i="9"/>
  <c r="M8" i="9"/>
  <c r="M9" i="9"/>
  <c r="M10" i="9"/>
  <c r="M11" i="9"/>
  <c r="M13" i="9"/>
  <c r="M14" i="9"/>
  <c r="M15" i="9"/>
  <c r="M16" i="9"/>
  <c r="M18" i="9"/>
  <c r="M19" i="9"/>
  <c r="M3" i="9"/>
  <c r="C17" i="3"/>
  <c r="D17" i="3"/>
  <c r="E17" i="3"/>
  <c r="F17" i="3"/>
  <c r="G17" i="3"/>
  <c r="H17" i="3"/>
  <c r="I17" i="3"/>
  <c r="J17" i="3"/>
  <c r="K17" i="3"/>
  <c r="L17" i="3"/>
  <c r="O17" i="4"/>
  <c r="O17" i="5"/>
  <c r="O17" i="2"/>
  <c r="O16" i="1"/>
  <c r="O17" i="1"/>
  <c r="M49" i="7"/>
  <c r="M48" i="7"/>
  <c r="M47" i="7"/>
  <c r="M43" i="7"/>
  <c r="M41" i="7"/>
  <c r="M42" i="7"/>
  <c r="M40" i="7"/>
  <c r="M39" i="7"/>
  <c r="M36" i="7"/>
  <c r="M35" i="7"/>
  <c r="M34" i="7"/>
  <c r="M33" i="7"/>
  <c r="M32" i="7"/>
  <c r="M31" i="7"/>
  <c r="M30" i="7"/>
  <c r="M29" i="7"/>
  <c r="M24" i="7"/>
  <c r="M23" i="7"/>
  <c r="M22" i="7"/>
  <c r="M21" i="7"/>
  <c r="M20" i="7"/>
  <c r="M19" i="7"/>
  <c r="M13" i="7"/>
  <c r="M11" i="7"/>
  <c r="M10" i="7"/>
  <c r="M9" i="7"/>
  <c r="M3" i="7"/>
  <c r="M4" i="7"/>
  <c r="M5" i="7"/>
  <c r="C5" i="3"/>
  <c r="D5" i="3"/>
  <c r="E5" i="3"/>
  <c r="F5" i="3"/>
  <c r="G5" i="3"/>
  <c r="H5" i="3"/>
  <c r="I5" i="3"/>
  <c r="J5" i="3"/>
  <c r="K5" i="3"/>
  <c r="L5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C13" i="3"/>
  <c r="D13" i="3"/>
  <c r="E13" i="3"/>
  <c r="F13" i="3"/>
  <c r="G13" i="3"/>
  <c r="H13" i="3"/>
  <c r="I13" i="3"/>
  <c r="J13" i="3"/>
  <c r="K13" i="3"/>
  <c r="L13" i="3"/>
  <c r="C14" i="3"/>
  <c r="D14" i="3"/>
  <c r="E14" i="3"/>
  <c r="F14" i="3"/>
  <c r="G14" i="3"/>
  <c r="H14" i="3"/>
  <c r="I14" i="3"/>
  <c r="J14" i="3"/>
  <c r="K14" i="3"/>
  <c r="L14" i="3"/>
  <c r="C15" i="3"/>
  <c r="D15" i="3"/>
  <c r="E15" i="3"/>
  <c r="F15" i="3"/>
  <c r="G15" i="3"/>
  <c r="H15" i="3"/>
  <c r="I15" i="3"/>
  <c r="J15" i="3"/>
  <c r="K15" i="3"/>
  <c r="L15" i="3"/>
  <c r="C16" i="3"/>
  <c r="D16" i="3"/>
  <c r="E16" i="3"/>
  <c r="F16" i="3"/>
  <c r="G16" i="3"/>
  <c r="H16" i="3"/>
  <c r="I16" i="3"/>
  <c r="J16" i="3"/>
  <c r="K16" i="3"/>
  <c r="L16" i="3"/>
  <c r="D4" i="3"/>
  <c r="E4" i="3"/>
  <c r="F4" i="3"/>
  <c r="G4" i="3"/>
  <c r="H4" i="3"/>
  <c r="I4" i="3"/>
  <c r="J4" i="3"/>
  <c r="K4" i="3"/>
  <c r="L4" i="3"/>
  <c r="O10" i="4"/>
  <c r="O10" i="5"/>
  <c r="O11" i="5"/>
  <c r="O10" i="2"/>
  <c r="O10" i="1"/>
  <c r="O7" i="5"/>
  <c r="O7" i="2"/>
  <c r="O16" i="4"/>
  <c r="O6" i="4"/>
  <c r="O6" i="1"/>
  <c r="O16" i="5"/>
  <c r="O16" i="2"/>
  <c r="C4" i="3"/>
  <c r="AE28" i="8"/>
  <c r="AE27" i="8"/>
  <c r="AE26" i="8"/>
  <c r="AE25" i="8"/>
  <c r="AE24" i="8"/>
  <c r="AE23" i="8"/>
  <c r="AE22" i="8"/>
  <c r="AE21" i="8"/>
  <c r="AE20" i="8"/>
  <c r="AE19" i="8"/>
  <c r="AE14" i="8"/>
  <c r="AE13" i="8"/>
  <c r="AE12" i="8"/>
  <c r="AE11" i="8"/>
  <c r="AE10" i="8"/>
  <c r="AE9" i="8"/>
  <c r="AE8" i="8"/>
  <c r="AE7" i="8"/>
  <c r="AE6" i="8"/>
  <c r="AE5" i="8"/>
  <c r="O28" i="8"/>
  <c r="O27" i="8"/>
  <c r="O26" i="8"/>
  <c r="O25" i="8"/>
  <c r="O24" i="8"/>
  <c r="O23" i="8"/>
  <c r="O22" i="8"/>
  <c r="O21" i="8"/>
  <c r="O20" i="8"/>
  <c r="O19" i="8"/>
  <c r="O14" i="8"/>
  <c r="O13" i="8"/>
  <c r="O12" i="8"/>
  <c r="O11" i="8"/>
  <c r="O10" i="8"/>
  <c r="O9" i="8"/>
  <c r="O8" i="8"/>
  <c r="O7" i="8"/>
  <c r="O6" i="8"/>
  <c r="O5" i="8"/>
  <c r="M12" i="7"/>
  <c r="O15" i="5"/>
  <c r="O14" i="5"/>
  <c r="O13" i="5"/>
  <c r="O12" i="5"/>
  <c r="O9" i="5"/>
  <c r="O8" i="5"/>
  <c r="O6" i="5"/>
  <c r="O5" i="5"/>
  <c r="O4" i="5"/>
  <c r="O15" i="4"/>
  <c r="O14" i="4"/>
  <c r="O13" i="4"/>
  <c r="O12" i="4"/>
  <c r="O11" i="4"/>
  <c r="O9" i="4"/>
  <c r="O8" i="4"/>
  <c r="O7" i="4"/>
  <c r="O5" i="4"/>
  <c r="O4" i="4"/>
  <c r="O5" i="2"/>
  <c r="O6" i="2"/>
  <c r="O8" i="2"/>
  <c r="O9" i="2"/>
  <c r="O11" i="2"/>
  <c r="O12" i="2"/>
  <c r="O13" i="2"/>
  <c r="O14" i="2"/>
  <c r="O15" i="2"/>
  <c r="O5" i="1"/>
  <c r="O7" i="1"/>
  <c r="O8" i="1"/>
  <c r="O9" i="1"/>
  <c r="O11" i="1"/>
  <c r="O12" i="1"/>
  <c r="O13" i="1"/>
  <c r="O14" i="1"/>
  <c r="O15" i="1"/>
  <c r="O11" i="3"/>
  <c r="O4" i="2"/>
  <c r="O4" i="1"/>
  <c r="O12" i="3" l="1"/>
  <c r="O6" i="3"/>
  <c r="O7" i="3"/>
  <c r="O17" i="3"/>
  <c r="O16" i="3"/>
  <c r="O15" i="3"/>
  <c r="O14" i="3"/>
  <c r="O10" i="3"/>
  <c r="O9" i="3"/>
  <c r="O8" i="3"/>
  <c r="O4" i="3"/>
  <c r="O5" i="3"/>
  <c r="O13" i="3"/>
</calcChain>
</file>

<file path=xl/sharedStrings.xml><?xml version="1.0" encoding="utf-8"?>
<sst xmlns="http://schemas.openxmlformats.org/spreadsheetml/2006/main" count="625" uniqueCount="160">
  <si>
    <t>Gaining Fate ユニット　初期値一覧</t>
  </si>
  <si>
    <t>HP</t>
  </si>
  <si>
    <t>力</t>
    <rPh sb="0" eb="1">
      <t>チカラ</t>
    </rPh>
    <phoneticPr fontId="1"/>
  </si>
  <si>
    <t>魔力</t>
    <rPh sb="0" eb="2">
      <t>マリョク</t>
    </rPh>
    <phoneticPr fontId="1"/>
  </si>
  <si>
    <t>技</t>
    <rPh sb="0" eb="1">
      <t>ワザ</t>
    </rPh>
    <phoneticPr fontId="1"/>
  </si>
  <si>
    <t>速さ</t>
    <rPh sb="0" eb="1">
      <t>ハヤ</t>
    </rPh>
    <phoneticPr fontId="1"/>
  </si>
  <si>
    <t>幸運</t>
    <rPh sb="0" eb="2">
      <t>コウウン</t>
    </rPh>
    <phoneticPr fontId="1"/>
  </si>
  <si>
    <t>守備力</t>
    <rPh sb="0" eb="3">
      <t>シュビリョク</t>
    </rPh>
    <phoneticPr fontId="1"/>
  </si>
  <si>
    <t>魔防力</t>
    <rPh sb="0" eb="2">
      <t>マボウ</t>
    </rPh>
    <rPh sb="2" eb="3">
      <t>リョク</t>
    </rPh>
    <phoneticPr fontId="1"/>
  </si>
  <si>
    <t>移動力</t>
    <rPh sb="0" eb="3">
      <t>イドウリョク</t>
    </rPh>
    <phoneticPr fontId="1"/>
  </si>
  <si>
    <t>熟練度</t>
    <rPh sb="0" eb="3">
      <t>ジュクレンド</t>
    </rPh>
    <phoneticPr fontId="1"/>
  </si>
  <si>
    <t>レベル</t>
    <phoneticPr fontId="1"/>
  </si>
  <si>
    <t>転生</t>
    <rPh sb="0" eb="2">
      <t>テンセイ</t>
    </rPh>
    <phoneticPr fontId="1"/>
  </si>
  <si>
    <t>計（初期値）</t>
  </si>
  <si>
    <t>ルメンテ</t>
    <phoneticPr fontId="1"/>
  </si>
  <si>
    <t>レジェ</t>
    <phoneticPr fontId="1"/>
  </si>
  <si>
    <t>レガート（パラディン）</t>
  </si>
  <si>
    <t>レガート  (Uナイト)</t>
  </si>
  <si>
    <t>アグリ</t>
    <phoneticPr fontId="1"/>
  </si>
  <si>
    <t>モレンド</t>
    <phoneticPr fontId="1"/>
  </si>
  <si>
    <t>トーン (賢者)</t>
  </si>
  <si>
    <t>トーン (学者)</t>
  </si>
  <si>
    <t>シュトレンク</t>
    <phoneticPr fontId="1"/>
  </si>
  <si>
    <t>リラ</t>
    <phoneticPr fontId="1"/>
  </si>
  <si>
    <t>ファルコン</t>
  </si>
  <si>
    <t>ユーリ（ブレイド）</t>
  </si>
  <si>
    <t>ユーリ（メイジ）</t>
  </si>
  <si>
    <t>シラヌイ</t>
  </si>
  <si>
    <t>Gaining Fate ユニット　成長率一覧</t>
  </si>
  <si>
    <t>計</t>
    <rPh sb="0" eb="1">
      <t>ケイ</t>
    </rPh>
    <phoneticPr fontId="1"/>
  </si>
  <si>
    <t>レガート (パラディン)</t>
  </si>
  <si>
    <t>レガート (Uナイト)</t>
  </si>
  <si>
    <t>Gaining Fate ユニット　転生後成長率一覧</t>
  </si>
  <si>
    <t>レガート</t>
    <phoneticPr fontId="1"/>
  </si>
  <si>
    <t>Lv.6</t>
  </si>
  <si>
    <t>能力</t>
  </si>
  <si>
    <t>成長率</t>
  </si>
  <si>
    <t>期待値</t>
  </si>
  <si>
    <t>Lv.2</t>
  </si>
  <si>
    <t>転生ブースト</t>
  </si>
  <si>
    <t>転生後成長率</t>
  </si>
  <si>
    <t>転生ブースト(メイジ)</t>
  </si>
  <si>
    <t>転生ブースト(ブレイド)</t>
  </si>
  <si>
    <t>Lv6</t>
  </si>
  <si>
    <t>転生後成長率 (メイジ)</t>
  </si>
  <si>
    <t>転生後成長率(ブレイド)</t>
  </si>
  <si>
    <t>期待値 (メイジ)</t>
  </si>
  <si>
    <t>期待値 (ブレイド)</t>
  </si>
  <si>
    <t>Lv.7</t>
  </si>
  <si>
    <t>Lv.1</t>
  </si>
  <si>
    <t>Gaining Fate ユニット　転生後能力一覧</t>
  </si>
  <si>
    <t>Gaining Fate ユニット　期待値一覧</t>
  </si>
  <si>
    <t>移動力</t>
  </si>
  <si>
    <t>計（期待値）</t>
  </si>
  <si>
    <t>転生後能力</t>
  </si>
  <si>
    <t>トーン</t>
    <phoneticPr fontId="1"/>
  </si>
  <si>
    <t>ユーリ</t>
  </si>
  <si>
    <t>合計</t>
  </si>
  <si>
    <t>スキル</t>
  </si>
  <si>
    <t>剣</t>
  </si>
  <si>
    <t>槍</t>
  </si>
  <si>
    <t>斧</t>
  </si>
  <si>
    <t>弓</t>
  </si>
  <si>
    <t>杖</t>
  </si>
  <si>
    <t>格</t>
  </si>
  <si>
    <t>ソードマスター</t>
  </si>
  <si>
    <t>追撃</t>
  </si>
  <si>
    <t>〇</t>
  </si>
  <si>
    <t>傭兵</t>
  </si>
  <si>
    <t>不屈</t>
  </si>
  <si>
    <t>ガーディアン</t>
  </si>
  <si>
    <t>先制</t>
  </si>
  <si>
    <t>バーサーカー</t>
  </si>
  <si>
    <t>パラディン</t>
  </si>
  <si>
    <t>再移動　追撃</t>
  </si>
  <si>
    <t>ウェポンナイト</t>
  </si>
  <si>
    <t>再移動</t>
  </si>
  <si>
    <t>しさい</t>
  </si>
  <si>
    <t>祈り</t>
  </si>
  <si>
    <t>がくしゃ</t>
  </si>
  <si>
    <t>知恵</t>
  </si>
  <si>
    <t>ぐんし</t>
  </si>
  <si>
    <t>知恵　連携</t>
  </si>
  <si>
    <t>ドラゴンナイト</t>
  </si>
  <si>
    <t>再移動　連続</t>
  </si>
  <si>
    <t>ホースメン</t>
  </si>
  <si>
    <t>必中</t>
  </si>
  <si>
    <t>スナイパー</t>
  </si>
  <si>
    <t>必殺</t>
  </si>
  <si>
    <t>ジェネラル</t>
  </si>
  <si>
    <t>暗黒</t>
  </si>
  <si>
    <t>ブレイド</t>
  </si>
  <si>
    <t>メイジ</t>
  </si>
  <si>
    <t>節約</t>
  </si>
  <si>
    <t>ルメンテ</t>
  </si>
  <si>
    <t>初期値（CCボーナスなし）</t>
    <rPh sb="0" eb="3">
      <t>ショキチ</t>
    </rPh>
    <phoneticPr fontId="1"/>
  </si>
  <si>
    <t>カノン</t>
    <phoneticPr fontId="1"/>
  </si>
  <si>
    <t>ソナタ</t>
    <phoneticPr fontId="1"/>
  </si>
  <si>
    <t>魔道アーマー</t>
    <rPh sb="0" eb="2">
      <t>マドウ</t>
    </rPh>
    <phoneticPr fontId="1"/>
  </si>
  <si>
    <t>しはんだい</t>
    <phoneticPr fontId="1"/>
  </si>
  <si>
    <t>グリフォンナイト</t>
    <phoneticPr fontId="1"/>
  </si>
  <si>
    <t>連続</t>
    <rPh sb="0" eb="2">
      <t>レンゾク</t>
    </rPh>
    <phoneticPr fontId="1"/>
  </si>
  <si>
    <t xml:space="preserve">再移動　みかわし　 </t>
    <rPh sb="0" eb="3">
      <t>サイイドウ</t>
    </rPh>
    <phoneticPr fontId="1"/>
  </si>
  <si>
    <t>剣</t>
    <rPh sb="0" eb="1">
      <t>ケン</t>
    </rPh>
    <phoneticPr fontId="1"/>
  </si>
  <si>
    <t>槍</t>
    <rPh sb="0" eb="1">
      <t>ヤリ</t>
    </rPh>
    <phoneticPr fontId="1"/>
  </si>
  <si>
    <t>斧</t>
    <rPh sb="0" eb="1">
      <t>オノ</t>
    </rPh>
    <phoneticPr fontId="1"/>
  </si>
  <si>
    <t>弓</t>
    <rPh sb="0" eb="1">
      <t>ユミ</t>
    </rPh>
    <phoneticPr fontId="1"/>
  </si>
  <si>
    <t>格闘</t>
    <rPh sb="0" eb="2">
      <t>カクトウ</t>
    </rPh>
    <phoneticPr fontId="1"/>
  </si>
  <si>
    <t>杖</t>
    <rPh sb="0" eb="1">
      <t>ツエ</t>
    </rPh>
    <phoneticPr fontId="1"/>
  </si>
  <si>
    <t>傭兵</t>
    <rPh sb="0" eb="2">
      <t>ヨウヘイ</t>
    </rPh>
    <phoneticPr fontId="1"/>
  </si>
  <si>
    <t>アサシン</t>
    <phoneticPr fontId="1"/>
  </si>
  <si>
    <t>ソシアルナイト</t>
    <phoneticPr fontId="1"/>
  </si>
  <si>
    <t>パラディン</t>
    <phoneticPr fontId="1"/>
  </si>
  <si>
    <t>ウェポンナイト</t>
    <phoneticPr fontId="1"/>
  </si>
  <si>
    <t>戦士</t>
    <rPh sb="0" eb="2">
      <t>センシ</t>
    </rPh>
    <phoneticPr fontId="1"/>
  </si>
  <si>
    <t>魔道ナイト</t>
    <rPh sb="0" eb="2">
      <t>マドウ</t>
    </rPh>
    <phoneticPr fontId="1"/>
  </si>
  <si>
    <t>盗賊</t>
    <rPh sb="0" eb="2">
      <t>トウゾク</t>
    </rPh>
    <phoneticPr fontId="1"/>
  </si>
  <si>
    <t>バーサーカー</t>
    <phoneticPr fontId="1"/>
  </si>
  <si>
    <t>シスター</t>
    <phoneticPr fontId="1"/>
  </si>
  <si>
    <t>賢者</t>
    <rPh sb="0" eb="2">
      <t>ケンジャ</t>
    </rPh>
    <phoneticPr fontId="1"/>
  </si>
  <si>
    <t>学者</t>
    <rPh sb="0" eb="2">
      <t>ガクシャ</t>
    </rPh>
    <phoneticPr fontId="1"/>
  </si>
  <si>
    <t>衛兵</t>
    <rPh sb="0" eb="2">
      <t>エイヘイ</t>
    </rPh>
    <phoneticPr fontId="1"/>
  </si>
  <si>
    <t>ガーディアン</t>
    <phoneticPr fontId="1"/>
  </si>
  <si>
    <t>ランスアーマー</t>
    <phoneticPr fontId="1"/>
  </si>
  <si>
    <t>アクスアーマー</t>
    <phoneticPr fontId="1"/>
  </si>
  <si>
    <t>ジェネラル</t>
    <phoneticPr fontId="1"/>
  </si>
  <si>
    <t>魔女</t>
    <rPh sb="0" eb="2">
      <t>マジョ</t>
    </rPh>
    <phoneticPr fontId="1"/>
  </si>
  <si>
    <t>ウィッチ</t>
    <phoneticPr fontId="1"/>
  </si>
  <si>
    <t>蛮族</t>
    <rPh sb="0" eb="2">
      <t>バンゾク</t>
    </rPh>
    <phoneticPr fontId="1"/>
  </si>
  <si>
    <t>アーチャー</t>
    <phoneticPr fontId="1"/>
  </si>
  <si>
    <t>スナイパー</t>
    <phoneticPr fontId="1"/>
  </si>
  <si>
    <t>ベア</t>
    <phoneticPr fontId="1"/>
  </si>
  <si>
    <t>コング</t>
    <phoneticPr fontId="1"/>
  </si>
  <si>
    <t>剣士</t>
    <rPh sb="0" eb="2">
      <t>ケンシ</t>
    </rPh>
    <phoneticPr fontId="1"/>
  </si>
  <si>
    <t>剣豪</t>
    <rPh sb="0" eb="2">
      <t>ケンゴウ</t>
    </rPh>
    <phoneticPr fontId="1"/>
  </si>
  <si>
    <t>魔導士</t>
    <rPh sb="0" eb="3">
      <t>マドウシ</t>
    </rPh>
    <phoneticPr fontId="1"/>
  </si>
  <si>
    <t>シューター</t>
    <phoneticPr fontId="1"/>
  </si>
  <si>
    <t>ハンター</t>
    <phoneticPr fontId="1"/>
  </si>
  <si>
    <t>ホースメン</t>
    <phoneticPr fontId="1"/>
  </si>
  <si>
    <t>魔剣士</t>
    <rPh sb="0" eb="1">
      <t>マ</t>
    </rPh>
    <rPh sb="1" eb="3">
      <t>ケンシ</t>
    </rPh>
    <phoneticPr fontId="1"/>
  </si>
  <si>
    <t>メイジ</t>
    <phoneticPr fontId="1"/>
  </si>
  <si>
    <t>ブレイド</t>
    <phoneticPr fontId="1"/>
  </si>
  <si>
    <t>ビーストナイト</t>
    <phoneticPr fontId="1"/>
  </si>
  <si>
    <t>忍者</t>
    <rPh sb="0" eb="2">
      <t>ニンジャ</t>
    </rPh>
    <phoneticPr fontId="1"/>
  </si>
  <si>
    <t>軍師</t>
    <rPh sb="0" eb="2">
      <t>グンシ</t>
    </rPh>
    <phoneticPr fontId="1"/>
  </si>
  <si>
    <t>マスターロード</t>
    <phoneticPr fontId="1"/>
  </si>
  <si>
    <t>ドラゴンナイト</t>
    <phoneticPr fontId="1"/>
  </si>
  <si>
    <t>師範代</t>
    <rPh sb="0" eb="3">
      <t>シハンダイ</t>
    </rPh>
    <phoneticPr fontId="1"/>
  </si>
  <si>
    <t>バルキリー</t>
    <phoneticPr fontId="1"/>
  </si>
  <si>
    <t>A</t>
    <phoneticPr fontId="1"/>
  </si>
  <si>
    <t>S</t>
    <phoneticPr fontId="1"/>
  </si>
  <si>
    <t>C</t>
    <phoneticPr fontId="1"/>
  </si>
  <si>
    <t>アサルト（レジェ）</t>
    <phoneticPr fontId="1"/>
  </si>
  <si>
    <t>アサルト（ギル）</t>
    <phoneticPr fontId="1"/>
  </si>
  <si>
    <t>B</t>
    <phoneticPr fontId="1"/>
  </si>
  <si>
    <t>ソードアーマー</t>
    <phoneticPr fontId="1"/>
  </si>
  <si>
    <t>火</t>
    <rPh sb="0" eb="1">
      <t>ヒ</t>
    </rPh>
    <phoneticPr fontId="1"/>
  </si>
  <si>
    <t>雷</t>
    <rPh sb="0" eb="1">
      <t>カミナリ</t>
    </rPh>
    <phoneticPr fontId="1"/>
  </si>
  <si>
    <t>氷</t>
    <rPh sb="0" eb="1">
      <t>コオリ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</si>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</sst>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Calibri"/>
      <family val="2"/>
    </font>
    <font>
      <b/>
      <sz val="11"/>
      <color rgb="FF000000"/>
      <name val="Arial Black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1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3A9FC"/>
        <bgColor indexed="64"/>
      </patternFill>
    </fill>
    <fill>
      <patternFill patternType="solid">
        <fgColor rgb="FFA1FFF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8FFA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ABD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CE0E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2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3" xfId="0" applyFill="1" applyBorder="1">
      <alignment vertical="center"/>
    </xf>
    <xf numFmtId="0" fontId="0" fillId="9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11" borderId="3" xfId="0" applyFill="1" applyBorder="1">
      <alignment vertical="center"/>
    </xf>
    <xf numFmtId="0" fontId="0" fillId="10" borderId="3" xfId="0" applyFill="1" applyBorder="1">
      <alignment vertical="center"/>
    </xf>
    <xf numFmtId="0" fontId="0" fillId="6" borderId="10" xfId="0" applyFill="1" applyBorder="1">
      <alignment vertical="center"/>
    </xf>
    <xf numFmtId="0" fontId="0" fillId="7" borderId="4" xfId="0" applyFill="1" applyBorder="1">
      <alignment vertical="center"/>
    </xf>
    <xf numFmtId="0" fontId="0" fillId="8" borderId="5" xfId="0" applyFill="1" applyBorder="1">
      <alignment vertical="center"/>
    </xf>
    <xf numFmtId="0" fontId="0" fillId="9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11" borderId="5" xfId="0" applyFill="1" applyBorder="1">
      <alignment vertical="center"/>
    </xf>
    <xf numFmtId="0" fontId="0" fillId="10" borderId="5" xfId="0" applyFill="1" applyBorder="1">
      <alignment vertical="center"/>
    </xf>
    <xf numFmtId="0" fontId="0" fillId="7" borderId="7" xfId="0" applyFill="1" applyBorder="1">
      <alignment vertical="center"/>
    </xf>
    <xf numFmtId="0" fontId="0" fillId="8" borderId="8" xfId="0" applyFill="1" applyBorder="1">
      <alignment vertical="center"/>
    </xf>
    <xf numFmtId="0" fontId="0" fillId="9" borderId="8" xfId="0" applyFill="1" applyBorder="1">
      <alignment vertical="center"/>
    </xf>
    <xf numFmtId="0" fontId="0" fillId="4" borderId="8" xfId="0" applyFill="1" applyBorder="1">
      <alignment vertical="center"/>
    </xf>
    <xf numFmtId="0" fontId="0" fillId="11" borderId="8" xfId="0" applyFill="1" applyBorder="1">
      <alignment vertical="center"/>
    </xf>
    <xf numFmtId="0" fontId="0" fillId="10" borderId="8" xfId="0" applyFill="1" applyBorder="1">
      <alignment vertical="center"/>
    </xf>
    <xf numFmtId="0" fontId="0" fillId="7" borderId="12" xfId="0" applyFill="1" applyBorder="1">
      <alignment vertical="center"/>
    </xf>
    <xf numFmtId="0" fontId="0" fillId="8" borderId="12" xfId="0" applyFill="1" applyBorder="1">
      <alignment vertical="center"/>
    </xf>
    <xf numFmtId="0" fontId="0" fillId="9" borderId="12" xfId="0" applyFill="1" applyBorder="1">
      <alignment vertical="center"/>
    </xf>
    <xf numFmtId="0" fontId="0" fillId="4" borderId="12" xfId="0" applyFill="1" applyBorder="1">
      <alignment vertical="center"/>
    </xf>
    <xf numFmtId="0" fontId="0" fillId="11" borderId="12" xfId="0" applyFill="1" applyBorder="1">
      <alignment vertical="center"/>
    </xf>
    <xf numFmtId="0" fontId="0" fillId="10" borderId="12" xfId="0" applyFill="1" applyBorder="1">
      <alignment vertical="center"/>
    </xf>
    <xf numFmtId="0" fontId="0" fillId="3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3" borderId="13" xfId="0" applyFill="1" applyBorder="1">
      <alignment vertical="center"/>
    </xf>
    <xf numFmtId="0" fontId="0" fillId="4" borderId="13" xfId="0" applyFill="1" applyBorder="1">
      <alignment vertical="center"/>
    </xf>
    <xf numFmtId="0" fontId="0" fillId="5" borderId="13" xfId="0" applyFill="1" applyBorder="1">
      <alignment vertical="center"/>
    </xf>
    <xf numFmtId="0" fontId="0" fillId="6" borderId="13" xfId="0" applyFill="1" applyBorder="1">
      <alignment vertical="center"/>
    </xf>
    <xf numFmtId="0" fontId="0" fillId="7" borderId="13" xfId="0" applyFill="1" applyBorder="1">
      <alignment vertical="center"/>
    </xf>
    <xf numFmtId="0" fontId="0" fillId="8" borderId="13" xfId="0" applyFill="1" applyBorder="1">
      <alignment vertical="center"/>
    </xf>
    <xf numFmtId="0" fontId="0" fillId="9" borderId="13" xfId="0" applyFill="1" applyBorder="1">
      <alignment vertical="center"/>
    </xf>
    <xf numFmtId="0" fontId="0" fillId="11" borderId="13" xfId="0" applyFill="1" applyBorder="1">
      <alignment vertical="center"/>
    </xf>
    <xf numFmtId="0" fontId="0" fillId="10" borderId="13" xfId="0" applyFill="1" applyBorder="1">
      <alignment vertical="center"/>
    </xf>
    <xf numFmtId="9" fontId="0" fillId="2" borderId="1" xfId="0" applyNumberFormat="1" applyFill="1" applyBorder="1">
      <alignment vertical="center"/>
    </xf>
    <xf numFmtId="9" fontId="0" fillId="3" borderId="1" xfId="0" applyNumberFormat="1" applyFill="1" applyBorder="1">
      <alignment vertical="center"/>
    </xf>
    <xf numFmtId="9" fontId="0" fillId="4" borderId="1" xfId="0" applyNumberFormat="1" applyFill="1" applyBorder="1">
      <alignment vertical="center"/>
    </xf>
    <xf numFmtId="9" fontId="0" fillId="5" borderId="1" xfId="0" applyNumberFormat="1" applyFill="1" applyBorder="1">
      <alignment vertical="center"/>
    </xf>
    <xf numFmtId="9" fontId="0" fillId="6" borderId="1" xfId="0" applyNumberFormat="1" applyFill="1" applyBorder="1">
      <alignment vertical="center"/>
    </xf>
    <xf numFmtId="9" fontId="0" fillId="7" borderId="3" xfId="0" applyNumberFormat="1" applyFill="1" applyBorder="1">
      <alignment vertical="center"/>
    </xf>
    <xf numFmtId="9" fontId="0" fillId="8" borderId="3" xfId="0" applyNumberFormat="1" applyFill="1" applyBorder="1">
      <alignment vertical="center"/>
    </xf>
    <xf numFmtId="9" fontId="0" fillId="9" borderId="3" xfId="0" applyNumberFormat="1" applyFill="1" applyBorder="1">
      <alignment vertical="center"/>
    </xf>
    <xf numFmtId="9" fontId="0" fillId="4" borderId="3" xfId="0" applyNumberFormat="1" applyFill="1" applyBorder="1">
      <alignment vertical="center"/>
    </xf>
    <xf numFmtId="9" fontId="0" fillId="11" borderId="3" xfId="0" applyNumberFormat="1" applyFill="1" applyBorder="1">
      <alignment vertical="center"/>
    </xf>
    <xf numFmtId="9" fontId="0" fillId="10" borderId="3" xfId="0" applyNumberFormat="1" applyFill="1" applyBorder="1">
      <alignment vertical="center"/>
    </xf>
    <xf numFmtId="9" fontId="0" fillId="6" borderId="10" xfId="0" applyNumberFormat="1" applyFill="1" applyBorder="1">
      <alignment vertical="center"/>
    </xf>
    <xf numFmtId="9" fontId="0" fillId="7" borderId="4" xfId="0" applyNumberFormat="1" applyFill="1" applyBorder="1">
      <alignment vertical="center"/>
    </xf>
    <xf numFmtId="9" fontId="0" fillId="8" borderId="5" xfId="0" applyNumberFormat="1" applyFill="1" applyBorder="1">
      <alignment vertical="center"/>
    </xf>
    <xf numFmtId="9" fontId="0" fillId="9" borderId="5" xfId="0" applyNumberFormat="1" applyFill="1" applyBorder="1">
      <alignment vertical="center"/>
    </xf>
    <xf numFmtId="9" fontId="0" fillId="4" borderId="5" xfId="0" applyNumberFormat="1" applyFill="1" applyBorder="1">
      <alignment vertical="center"/>
    </xf>
    <xf numFmtId="9" fontId="0" fillId="11" borderId="5" xfId="0" applyNumberFormat="1" applyFill="1" applyBorder="1">
      <alignment vertical="center"/>
    </xf>
    <xf numFmtId="9" fontId="0" fillId="10" borderId="5" xfId="0" applyNumberFormat="1" applyFill="1" applyBorder="1">
      <alignment vertical="center"/>
    </xf>
    <xf numFmtId="9" fontId="0" fillId="7" borderId="7" xfId="0" applyNumberFormat="1" applyFill="1" applyBorder="1">
      <alignment vertical="center"/>
    </xf>
    <xf numFmtId="9" fontId="0" fillId="8" borderId="8" xfId="0" applyNumberFormat="1" applyFill="1" applyBorder="1">
      <alignment vertical="center"/>
    </xf>
    <xf numFmtId="9" fontId="0" fillId="9" borderId="8" xfId="0" applyNumberFormat="1" applyFill="1" applyBorder="1">
      <alignment vertical="center"/>
    </xf>
    <xf numFmtId="9" fontId="0" fillId="4" borderId="8" xfId="0" applyNumberFormat="1" applyFill="1" applyBorder="1">
      <alignment vertical="center"/>
    </xf>
    <xf numFmtId="9" fontId="0" fillId="11" borderId="8" xfId="0" applyNumberFormat="1" applyFill="1" applyBorder="1">
      <alignment vertical="center"/>
    </xf>
    <xf numFmtId="9" fontId="0" fillId="10" borderId="8" xfId="0" applyNumberFormat="1" applyFill="1" applyBorder="1">
      <alignment vertical="center"/>
    </xf>
    <xf numFmtId="9" fontId="0" fillId="7" borderId="12" xfId="0" applyNumberFormat="1" applyFill="1" applyBorder="1">
      <alignment vertical="center"/>
    </xf>
    <xf numFmtId="9" fontId="0" fillId="8" borderId="12" xfId="0" applyNumberFormat="1" applyFill="1" applyBorder="1">
      <alignment vertical="center"/>
    </xf>
    <xf numFmtId="9" fontId="0" fillId="9" borderId="12" xfId="0" applyNumberFormat="1" applyFill="1" applyBorder="1">
      <alignment vertical="center"/>
    </xf>
    <xf numFmtId="9" fontId="0" fillId="4" borderId="12" xfId="0" applyNumberFormat="1" applyFill="1" applyBorder="1">
      <alignment vertical="center"/>
    </xf>
    <xf numFmtId="9" fontId="0" fillId="11" borderId="12" xfId="0" applyNumberFormat="1" applyFill="1" applyBorder="1">
      <alignment vertical="center"/>
    </xf>
    <xf numFmtId="9" fontId="0" fillId="10" borderId="12" xfId="0" applyNumberFormat="1" applyFill="1" applyBorder="1">
      <alignment vertical="center"/>
    </xf>
    <xf numFmtId="9" fontId="0" fillId="7" borderId="1" xfId="0" applyNumberFormat="1" applyFill="1" applyBorder="1">
      <alignment vertical="center"/>
    </xf>
    <xf numFmtId="9" fontId="0" fillId="8" borderId="1" xfId="0" applyNumberFormat="1" applyFill="1" applyBorder="1">
      <alignment vertical="center"/>
    </xf>
    <xf numFmtId="9" fontId="0" fillId="9" borderId="1" xfId="0" applyNumberFormat="1" applyFill="1" applyBorder="1">
      <alignment vertical="center"/>
    </xf>
    <xf numFmtId="9" fontId="0" fillId="11" borderId="1" xfId="0" applyNumberFormat="1" applyFill="1" applyBorder="1">
      <alignment vertical="center"/>
    </xf>
    <xf numFmtId="9" fontId="0" fillId="10" borderId="1" xfId="0" applyNumberFormat="1" applyFill="1" applyBorder="1">
      <alignment vertical="center"/>
    </xf>
    <xf numFmtId="9" fontId="0" fillId="3" borderId="3" xfId="0" applyNumberFormat="1" applyFill="1" applyBorder="1">
      <alignment vertical="center"/>
    </xf>
    <xf numFmtId="9" fontId="0" fillId="5" borderId="3" xfId="0" applyNumberFormat="1" applyFill="1" applyBorder="1">
      <alignment vertical="center"/>
    </xf>
    <xf numFmtId="9" fontId="0" fillId="6" borderId="3" xfId="0" applyNumberFormat="1" applyFill="1" applyBorder="1">
      <alignment vertical="center"/>
    </xf>
    <xf numFmtId="9" fontId="0" fillId="3" borderId="13" xfId="0" applyNumberFormat="1" applyFill="1" applyBorder="1">
      <alignment vertical="center"/>
    </xf>
    <xf numFmtId="9" fontId="0" fillId="4" borderId="13" xfId="0" applyNumberFormat="1" applyFill="1" applyBorder="1">
      <alignment vertical="center"/>
    </xf>
    <xf numFmtId="9" fontId="0" fillId="5" borderId="13" xfId="0" applyNumberFormat="1" applyFill="1" applyBorder="1">
      <alignment vertical="center"/>
    </xf>
    <xf numFmtId="9" fontId="0" fillId="6" borderId="13" xfId="0" applyNumberFormat="1" applyFill="1" applyBorder="1">
      <alignment vertical="center"/>
    </xf>
    <xf numFmtId="9" fontId="0" fillId="7" borderId="13" xfId="0" applyNumberFormat="1" applyFill="1" applyBorder="1">
      <alignment vertical="center"/>
    </xf>
    <xf numFmtId="9" fontId="0" fillId="8" borderId="13" xfId="0" applyNumberFormat="1" applyFill="1" applyBorder="1">
      <alignment vertical="center"/>
    </xf>
    <xf numFmtId="9" fontId="0" fillId="9" borderId="13" xfId="0" applyNumberFormat="1" applyFill="1" applyBorder="1">
      <alignment vertical="center"/>
    </xf>
    <xf numFmtId="9" fontId="0" fillId="11" borderId="13" xfId="0" applyNumberFormat="1" applyFill="1" applyBorder="1">
      <alignment vertical="center"/>
    </xf>
    <xf numFmtId="9" fontId="0" fillId="10" borderId="13" xfId="0" applyNumberFormat="1" applyFill="1" applyBorder="1">
      <alignment vertical="center"/>
    </xf>
    <xf numFmtId="0" fontId="0" fillId="1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0" fillId="13" borderId="1" xfId="0" applyFill="1" applyBorder="1">
      <alignment vertical="center"/>
    </xf>
    <xf numFmtId="0" fontId="0" fillId="13" borderId="10" xfId="0" applyFill="1" applyBorder="1">
      <alignment vertical="center"/>
    </xf>
    <xf numFmtId="0" fontId="0" fillId="13" borderId="13" xfId="0" applyFill="1" applyBorder="1">
      <alignment vertical="center"/>
    </xf>
    <xf numFmtId="9" fontId="0" fillId="13" borderId="1" xfId="0" applyNumberFormat="1" applyFill="1" applyBorder="1">
      <alignment vertical="center"/>
    </xf>
    <xf numFmtId="9" fontId="0" fillId="13" borderId="3" xfId="0" applyNumberFormat="1" applyFill="1" applyBorder="1">
      <alignment vertical="center"/>
    </xf>
    <xf numFmtId="0" fontId="2" fillId="0" borderId="13" xfId="0" applyFont="1" applyBorder="1">
      <alignment vertical="center"/>
    </xf>
    <xf numFmtId="9" fontId="2" fillId="0" borderId="13" xfId="0" applyNumberFormat="1" applyFont="1" applyBorder="1">
      <alignment vertical="center"/>
    </xf>
    <xf numFmtId="0" fontId="0" fillId="13" borderId="15" xfId="0" applyFill="1" applyBorder="1">
      <alignment vertical="center"/>
    </xf>
    <xf numFmtId="0" fontId="0" fillId="14" borderId="3" xfId="0" applyFill="1" applyBorder="1">
      <alignment vertical="center"/>
    </xf>
    <xf numFmtId="0" fontId="3" fillId="6" borderId="14" xfId="0" applyFont="1" applyFill="1" applyBorder="1">
      <alignment vertical="center"/>
    </xf>
    <xf numFmtId="0" fontId="0" fillId="6" borderId="15" xfId="0" applyFill="1" applyBorder="1">
      <alignment vertical="center"/>
    </xf>
    <xf numFmtId="0" fontId="0" fillId="4" borderId="16" xfId="0" applyFill="1" applyBorder="1">
      <alignment vertical="center"/>
    </xf>
    <xf numFmtId="9" fontId="0" fillId="13" borderId="13" xfId="0" applyNumberFormat="1" applyFill="1" applyBorder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9" fontId="0" fillId="2" borderId="8" xfId="0" applyNumberFormat="1" applyFill="1" applyBorder="1">
      <alignment vertical="center"/>
    </xf>
    <xf numFmtId="0" fontId="0" fillId="15" borderId="1" xfId="0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3" xfId="0" applyNumberFormat="1" applyFont="1" applyFill="1" applyBorder="1">
      <alignment vertical="center"/>
    </xf>
    <xf numFmtId="176" fontId="2" fillId="2" borderId="13" xfId="0" applyNumberFormat="1" applyFont="1" applyFill="1" applyBorder="1">
      <alignment vertical="center"/>
    </xf>
    <xf numFmtId="9" fontId="0" fillId="4" borderId="17" xfId="0" applyNumberFormat="1" applyFill="1" applyBorder="1">
      <alignment vertical="center"/>
    </xf>
    <xf numFmtId="9" fontId="0" fillId="2" borderId="13" xfId="0" applyNumberFormat="1" applyFill="1" applyBorder="1">
      <alignment vertical="center"/>
    </xf>
    <xf numFmtId="9" fontId="0" fillId="6" borderId="14" xfId="0" applyNumberFormat="1" applyFill="1" applyBorder="1">
      <alignment vertical="center"/>
    </xf>
    <xf numFmtId="9" fontId="0" fillId="7" borderId="18" xfId="0" applyNumberFormat="1" applyFill="1" applyBorder="1">
      <alignment vertical="center"/>
    </xf>
    <xf numFmtId="0" fontId="0" fillId="2" borderId="19" xfId="0" applyFill="1" applyBorder="1">
      <alignment vertical="center"/>
    </xf>
    <xf numFmtId="0" fontId="0" fillId="2" borderId="16" xfId="0" applyFill="1" applyBorder="1">
      <alignment vertical="center"/>
    </xf>
    <xf numFmtId="9" fontId="0" fillId="2" borderId="3" xfId="0" applyNumberFormat="1" applyFill="1" applyBorder="1">
      <alignment vertical="center"/>
    </xf>
    <xf numFmtId="9" fontId="0" fillId="3" borderId="12" xfId="0" applyNumberFormat="1" applyFill="1" applyBorder="1">
      <alignment vertical="center"/>
    </xf>
    <xf numFmtId="9" fontId="0" fillId="5" borderId="12" xfId="0" applyNumberFormat="1" applyFill="1" applyBorder="1">
      <alignment vertical="center"/>
    </xf>
    <xf numFmtId="9" fontId="0" fillId="6" borderId="12" xfId="0" applyNumberFormat="1" applyFill="1" applyBorder="1">
      <alignment vertical="center"/>
    </xf>
    <xf numFmtId="9" fontId="0" fillId="2" borderId="12" xfId="0" applyNumberFormat="1" applyFill="1" applyBorder="1">
      <alignment vertical="center"/>
    </xf>
    <xf numFmtId="0" fontId="0" fillId="2" borderId="10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0" xfId="0" applyFill="1" applyBorder="1">
      <alignment vertical="center"/>
    </xf>
    <xf numFmtId="0" fontId="0" fillId="7" borderId="11" xfId="0" applyFill="1" applyBorder="1">
      <alignment vertical="center"/>
    </xf>
    <xf numFmtId="0" fontId="2" fillId="14" borderId="1" xfId="0" applyFont="1" applyFill="1" applyBorder="1">
      <alignment vertical="center"/>
    </xf>
    <xf numFmtId="9" fontId="2" fillId="14" borderId="1" xfId="0" applyNumberFormat="1" applyFont="1" applyFill="1" applyBorder="1">
      <alignment vertical="center"/>
    </xf>
    <xf numFmtId="0" fontId="2" fillId="14" borderId="13" xfId="0" applyFont="1" applyFill="1" applyBorder="1">
      <alignment vertical="center"/>
    </xf>
    <xf numFmtId="9" fontId="2" fillId="14" borderId="13" xfId="0" applyNumberFormat="1" applyFont="1" applyFill="1" applyBorder="1">
      <alignment vertical="center"/>
    </xf>
    <xf numFmtId="0" fontId="0" fillId="16" borderId="10" xfId="0" applyFill="1" applyBorder="1">
      <alignment vertical="center"/>
    </xf>
    <xf numFmtId="0" fontId="0" fillId="16" borderId="15" xfId="0" applyFill="1" applyBorder="1">
      <alignment vertical="center"/>
    </xf>
    <xf numFmtId="0" fontId="0" fillId="16" borderId="16" xfId="0" applyFill="1" applyBorder="1">
      <alignment vertical="center"/>
    </xf>
    <xf numFmtId="0" fontId="0" fillId="16" borderId="3" xfId="0" applyFill="1" applyBorder="1">
      <alignment vertical="center"/>
    </xf>
    <xf numFmtId="0" fontId="0" fillId="2" borderId="23" xfId="0" applyFill="1" applyBorder="1">
      <alignment vertical="center"/>
    </xf>
    <xf numFmtId="0" fontId="0" fillId="12" borderId="13" xfId="0" applyFill="1" applyBorder="1">
      <alignment vertical="center"/>
    </xf>
    <xf numFmtId="9" fontId="0" fillId="12" borderId="13" xfId="0" applyNumberFormat="1" applyFill="1" applyBorder="1">
      <alignment vertical="center"/>
    </xf>
    <xf numFmtId="0" fontId="0" fillId="12" borderId="23" xfId="0" applyFill="1" applyBorder="1">
      <alignment vertical="center"/>
    </xf>
    <xf numFmtId="0" fontId="0" fillId="15" borderId="13" xfId="0" applyFill="1" applyBorder="1">
      <alignment vertical="center"/>
    </xf>
    <xf numFmtId="9" fontId="0" fillId="15" borderId="13" xfId="0" applyNumberFormat="1" applyFill="1" applyBorder="1">
      <alignment vertical="center"/>
    </xf>
    <xf numFmtId="0" fontId="0" fillId="3" borderId="23" xfId="0" applyFill="1" applyBorder="1">
      <alignment vertical="center"/>
    </xf>
    <xf numFmtId="0" fontId="0" fillId="4" borderId="23" xfId="0" applyFill="1" applyBorder="1">
      <alignment vertical="center"/>
    </xf>
    <xf numFmtId="0" fontId="0" fillId="5" borderId="23" xfId="0" applyFill="1" applyBorder="1">
      <alignment vertical="center"/>
    </xf>
    <xf numFmtId="0" fontId="0" fillId="6" borderId="23" xfId="0" applyFill="1" applyBorder="1">
      <alignment vertical="center"/>
    </xf>
    <xf numFmtId="0" fontId="0" fillId="7" borderId="23" xfId="0" applyFill="1" applyBorder="1">
      <alignment vertical="center"/>
    </xf>
    <xf numFmtId="0" fontId="0" fillId="8" borderId="23" xfId="0" applyFill="1" applyBorder="1">
      <alignment vertical="center"/>
    </xf>
    <xf numFmtId="0" fontId="0" fillId="9" borderId="23" xfId="0" applyFill="1" applyBorder="1">
      <alignment vertical="center"/>
    </xf>
    <xf numFmtId="0" fontId="0" fillId="11" borderId="23" xfId="0" applyFill="1" applyBorder="1">
      <alignment vertical="center"/>
    </xf>
    <xf numFmtId="0" fontId="0" fillId="10" borderId="23" xfId="0" applyFill="1" applyBorder="1">
      <alignment vertical="center"/>
    </xf>
    <xf numFmtId="0" fontId="0" fillId="0" borderId="13" xfId="0" applyBorder="1">
      <alignment vertical="center"/>
    </xf>
    <xf numFmtId="0" fontId="0" fillId="2" borderId="14" xfId="0" applyFill="1" applyBorder="1">
      <alignment vertical="center"/>
    </xf>
    <xf numFmtId="0" fontId="0" fillId="2" borderId="24" xfId="0" applyFill="1" applyBorder="1">
      <alignment vertical="center"/>
    </xf>
    <xf numFmtId="0" fontId="0" fillId="14" borderId="13" xfId="0" applyFill="1" applyBorder="1">
      <alignment vertical="center"/>
    </xf>
    <xf numFmtId="0" fontId="0" fillId="13" borderId="3" xfId="0" applyFill="1" applyBorder="1">
      <alignment vertical="center"/>
    </xf>
    <xf numFmtId="0" fontId="0" fillId="15" borderId="3" xfId="0" applyFill="1" applyBorder="1">
      <alignment vertical="center"/>
    </xf>
    <xf numFmtId="0" fontId="0" fillId="12" borderId="3" xfId="0" applyFill="1" applyBorder="1">
      <alignment vertical="center"/>
    </xf>
    <xf numFmtId="0" fontId="0" fillId="17" borderId="3" xfId="0" applyFill="1" applyBorder="1">
      <alignment vertical="center"/>
    </xf>
    <xf numFmtId="0" fontId="0" fillId="17" borderId="13" xfId="0" applyFill="1" applyBorder="1">
      <alignment vertical="center"/>
    </xf>
    <xf numFmtId="0" fontId="0" fillId="18" borderId="3" xfId="0" applyFill="1" applyBorder="1">
      <alignment vertical="center"/>
    </xf>
    <xf numFmtId="0" fontId="0" fillId="18" borderId="13" xfId="0" applyFill="1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18" borderId="23" xfId="0" applyFill="1" applyBorder="1">
      <alignment vertical="center"/>
    </xf>
    <xf numFmtId="0" fontId="0" fillId="15" borderId="23" xfId="0" applyFill="1" applyBorder="1">
      <alignment vertical="center"/>
    </xf>
    <xf numFmtId="0" fontId="0" fillId="17" borderId="23" xfId="0" applyFill="1" applyBorder="1">
      <alignment vertical="center"/>
    </xf>
    <xf numFmtId="0" fontId="0" fillId="13" borderId="25" xfId="0" applyFill="1" applyBorder="1">
      <alignment vertical="center"/>
    </xf>
    <xf numFmtId="0" fontId="0" fillId="0" borderId="26" xfId="0" applyBorder="1">
      <alignment vertical="center"/>
    </xf>
    <xf numFmtId="0" fontId="0" fillId="3" borderId="12" xfId="0" applyFill="1" applyBorder="1">
      <alignment vertical="center"/>
    </xf>
    <xf numFmtId="0" fontId="0" fillId="5" borderId="12" xfId="0" applyFill="1" applyBorder="1">
      <alignment vertical="center"/>
    </xf>
    <xf numFmtId="0" fontId="0" fillId="6" borderId="12" xfId="0" applyFill="1" applyBorder="1">
      <alignment vertical="center"/>
    </xf>
    <xf numFmtId="0" fontId="0" fillId="7" borderId="17" xfId="0" applyFill="1" applyBorder="1">
      <alignment vertical="center"/>
    </xf>
    <xf numFmtId="0" fontId="0" fillId="8" borderId="17" xfId="0" applyFill="1" applyBorder="1">
      <alignment vertical="center"/>
    </xf>
    <xf numFmtId="0" fontId="0" fillId="9" borderId="17" xfId="0" applyFill="1" applyBorder="1">
      <alignment vertical="center"/>
    </xf>
    <xf numFmtId="0" fontId="0" fillId="4" borderId="17" xfId="0" applyFill="1" applyBorder="1">
      <alignment vertical="center"/>
    </xf>
    <xf numFmtId="0" fontId="0" fillId="11" borderId="17" xfId="0" applyFill="1" applyBorder="1">
      <alignment vertical="center"/>
    </xf>
    <xf numFmtId="0" fontId="0" fillId="10" borderId="17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27" xfId="0" applyFill="1" applyBorder="1">
      <alignment vertical="center"/>
    </xf>
    <xf numFmtId="0" fontId="0" fillId="3" borderId="27" xfId="0" applyFill="1" applyBorder="1">
      <alignment vertical="center"/>
    </xf>
    <xf numFmtId="0" fontId="0" fillId="4" borderId="27" xfId="0" applyFill="1" applyBorder="1">
      <alignment vertical="center"/>
    </xf>
    <xf numFmtId="0" fontId="0" fillId="5" borderId="27" xfId="0" applyFill="1" applyBorder="1">
      <alignment vertical="center"/>
    </xf>
    <xf numFmtId="0" fontId="0" fillId="6" borderId="27" xfId="0" applyFill="1" applyBorder="1">
      <alignment vertical="center"/>
    </xf>
    <xf numFmtId="0" fontId="0" fillId="7" borderId="27" xfId="0" applyFill="1" applyBorder="1">
      <alignment vertical="center"/>
    </xf>
    <xf numFmtId="0" fontId="0" fillId="8" borderId="27" xfId="0" applyFill="1" applyBorder="1">
      <alignment vertical="center"/>
    </xf>
    <xf numFmtId="0" fontId="0" fillId="9" borderId="27" xfId="0" applyFill="1" applyBorder="1">
      <alignment vertical="center"/>
    </xf>
    <xf numFmtId="0" fontId="0" fillId="11" borderId="27" xfId="0" applyFill="1" applyBorder="1">
      <alignment vertical="center"/>
    </xf>
    <xf numFmtId="0" fontId="0" fillId="10" borderId="27" xfId="0" applyFill="1" applyBorder="1">
      <alignment vertical="center"/>
    </xf>
    <xf numFmtId="0" fontId="0" fillId="2" borderId="1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14" borderId="1" xfId="0" applyFill="1" applyBorder="1">
      <alignment vertical="center"/>
    </xf>
    <xf numFmtId="0" fontId="0" fillId="19" borderId="1" xfId="0" applyFill="1" applyBorder="1">
      <alignment vertical="center"/>
    </xf>
    <xf numFmtId="0" fontId="0" fillId="20" borderId="1" xfId="0" applyFill="1" applyBorder="1">
      <alignment vertical="center"/>
    </xf>
    <xf numFmtId="0" fontId="0" fillId="21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CE0EC"/>
      <color rgb="FFFFE1E1"/>
      <color rgb="FFFFCCCC"/>
      <color rgb="FFFFE7FF"/>
      <color rgb="FFFFCCFF"/>
      <color rgb="FFFFABD2"/>
      <color rgb="FFE8FFA8"/>
      <color rgb="FFFFA1CD"/>
      <color rgb="FFF3A9FC"/>
      <color rgb="FFFF70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6415-9D16-4120-BC65-596DC86BF51F}">
  <dimension ref="B1:O17"/>
  <sheetViews>
    <sheetView zoomScaleNormal="100" workbookViewId="0">
      <selection activeCell="B3" sqref="B3:M3"/>
    </sheetView>
  </sheetViews>
  <sheetFormatPr defaultColWidth="9" defaultRowHeight="18" x14ac:dyDescent="0.45"/>
  <cols>
    <col min="1" max="1" width="5.19921875" style="1" customWidth="1"/>
    <col min="2" max="2" width="34.8984375" style="1" bestFit="1" customWidth="1"/>
    <col min="3" max="14" width="9" style="1"/>
    <col min="15" max="15" width="14" style="1" customWidth="1"/>
    <col min="16" max="16384" width="9" style="1"/>
  </cols>
  <sheetData>
    <row r="1" spans="2:15" s="3" customFormat="1" ht="33.75" customHeight="1" x14ac:dyDescent="0.45">
      <c r="B1" s="4" t="s">
        <v>0</v>
      </c>
    </row>
    <row r="2" spans="2:15" ht="18.600000000000001" thickTop="1" x14ac:dyDescent="0.45"/>
    <row r="3" spans="2:15" ht="18.600000000000001" thickBot="1" x14ac:dyDescent="0.5">
      <c r="B3" s="196" t="s">
        <v>95</v>
      </c>
      <c r="C3" s="197" t="s">
        <v>1</v>
      </c>
      <c r="D3" s="198" t="s">
        <v>2</v>
      </c>
      <c r="E3" s="199" t="s">
        <v>3</v>
      </c>
      <c r="F3" s="200" t="s">
        <v>4</v>
      </c>
      <c r="G3" s="201" t="s">
        <v>5</v>
      </c>
      <c r="H3" s="202" t="s">
        <v>6</v>
      </c>
      <c r="I3" s="203" t="s">
        <v>7</v>
      </c>
      <c r="J3" s="198" t="s">
        <v>8</v>
      </c>
      <c r="K3" s="204" t="s">
        <v>9</v>
      </c>
      <c r="L3" s="205" t="s">
        <v>10</v>
      </c>
      <c r="M3" s="196" t="s">
        <v>11</v>
      </c>
      <c r="N3" s="196" t="s">
        <v>12</v>
      </c>
      <c r="O3" s="196" t="s">
        <v>13</v>
      </c>
    </row>
    <row r="4" spans="2:15" ht="18.600000000000001" thickTop="1" x14ac:dyDescent="0.45">
      <c r="B4" s="206" t="s">
        <v>14</v>
      </c>
      <c r="C4" s="186">
        <v>28</v>
      </c>
      <c r="D4" s="42">
        <v>9</v>
      </c>
      <c r="E4" s="187">
        <v>0</v>
      </c>
      <c r="F4" s="188">
        <v>9</v>
      </c>
      <c r="G4" s="189">
        <v>7</v>
      </c>
      <c r="H4" s="190">
        <v>3</v>
      </c>
      <c r="I4" s="191">
        <v>8</v>
      </c>
      <c r="J4" s="192">
        <v>0</v>
      </c>
      <c r="K4" s="193">
        <v>5</v>
      </c>
      <c r="L4" s="194">
        <v>9</v>
      </c>
      <c r="M4" s="195">
        <v>6</v>
      </c>
      <c r="N4" s="9">
        <v>0</v>
      </c>
      <c r="O4" s="9">
        <f>SUM(C4:L4)</f>
        <v>78</v>
      </c>
    </row>
    <row r="5" spans="2:15" x14ac:dyDescent="0.45">
      <c r="B5" s="207" t="s">
        <v>15</v>
      </c>
      <c r="C5" s="11">
        <v>13</v>
      </c>
      <c r="D5" s="12">
        <v>4</v>
      </c>
      <c r="E5" s="13">
        <v>0</v>
      </c>
      <c r="F5" s="26">
        <v>4</v>
      </c>
      <c r="G5" s="27">
        <v>5</v>
      </c>
      <c r="H5" s="28">
        <v>6</v>
      </c>
      <c r="I5" s="29">
        <v>2</v>
      </c>
      <c r="J5" s="30">
        <v>0</v>
      </c>
      <c r="K5" s="31">
        <v>5</v>
      </c>
      <c r="L5" s="32">
        <v>2</v>
      </c>
      <c r="M5" s="6">
        <v>1</v>
      </c>
      <c r="N5" s="8">
        <v>20</v>
      </c>
      <c r="O5" s="2">
        <f t="shared" ref="O5:O15" si="0">SUM(C5:L5)</f>
        <v>41</v>
      </c>
    </row>
    <row r="6" spans="2:15" x14ac:dyDescent="0.45">
      <c r="B6" s="207" t="s">
        <v>16</v>
      </c>
      <c r="C6" s="11">
        <v>25</v>
      </c>
      <c r="D6" s="12">
        <v>7</v>
      </c>
      <c r="E6" s="13">
        <v>1</v>
      </c>
      <c r="F6" s="26">
        <v>5</v>
      </c>
      <c r="G6" s="33">
        <v>5</v>
      </c>
      <c r="H6" s="34">
        <v>5</v>
      </c>
      <c r="I6" s="35">
        <v>6</v>
      </c>
      <c r="J6" s="36">
        <v>2</v>
      </c>
      <c r="K6" s="37">
        <v>7</v>
      </c>
      <c r="L6" s="38">
        <v>7</v>
      </c>
      <c r="M6" s="7">
        <v>4</v>
      </c>
      <c r="N6" s="8">
        <v>20</v>
      </c>
      <c r="O6" s="2">
        <f t="shared" ref="O6" si="1">SUM(C6:L6)</f>
        <v>70</v>
      </c>
    </row>
    <row r="7" spans="2:15" x14ac:dyDescent="0.45">
      <c r="B7" s="208" t="s">
        <v>17</v>
      </c>
      <c r="C7" s="11">
        <v>25</v>
      </c>
      <c r="D7" s="12">
        <v>7</v>
      </c>
      <c r="E7" s="13">
        <v>1</v>
      </c>
      <c r="F7" s="26">
        <v>5</v>
      </c>
      <c r="G7" s="33">
        <v>5</v>
      </c>
      <c r="H7" s="34">
        <v>5</v>
      </c>
      <c r="I7" s="35">
        <v>6</v>
      </c>
      <c r="J7" s="36">
        <v>2</v>
      </c>
      <c r="K7" s="37">
        <v>7</v>
      </c>
      <c r="L7" s="38">
        <v>7</v>
      </c>
      <c r="M7" s="7">
        <v>4</v>
      </c>
      <c r="N7" s="8">
        <v>20</v>
      </c>
      <c r="O7" s="2">
        <f t="shared" si="0"/>
        <v>70</v>
      </c>
    </row>
    <row r="8" spans="2:15" x14ac:dyDescent="0.45">
      <c r="B8" s="207" t="s">
        <v>18</v>
      </c>
      <c r="C8" s="11">
        <v>28</v>
      </c>
      <c r="D8" s="12">
        <v>7</v>
      </c>
      <c r="E8" s="13">
        <v>0</v>
      </c>
      <c r="F8" s="14">
        <v>4</v>
      </c>
      <c r="G8" s="39">
        <v>6</v>
      </c>
      <c r="H8" s="40">
        <v>4</v>
      </c>
      <c r="I8" s="41">
        <v>5</v>
      </c>
      <c r="J8" s="42">
        <v>0</v>
      </c>
      <c r="K8" s="43">
        <v>5</v>
      </c>
      <c r="L8" s="44">
        <v>5</v>
      </c>
      <c r="M8" s="9">
        <v>3</v>
      </c>
      <c r="N8" s="2">
        <v>20</v>
      </c>
      <c r="O8" s="2">
        <f t="shared" si="0"/>
        <v>64</v>
      </c>
    </row>
    <row r="9" spans="2:15" x14ac:dyDescent="0.45">
      <c r="B9" s="207" t="s">
        <v>19</v>
      </c>
      <c r="C9" s="11">
        <v>16</v>
      </c>
      <c r="D9" s="12">
        <v>4</v>
      </c>
      <c r="E9" s="13">
        <v>0</v>
      </c>
      <c r="F9" s="14">
        <v>4</v>
      </c>
      <c r="G9" s="15">
        <v>9</v>
      </c>
      <c r="H9" s="16">
        <v>6</v>
      </c>
      <c r="I9" s="17">
        <v>3</v>
      </c>
      <c r="J9" s="12">
        <v>0</v>
      </c>
      <c r="K9" s="19">
        <v>6</v>
      </c>
      <c r="L9" s="18">
        <v>6</v>
      </c>
      <c r="M9" s="2">
        <v>1</v>
      </c>
      <c r="N9" s="2">
        <v>0</v>
      </c>
      <c r="O9" s="2">
        <f t="shared" si="0"/>
        <v>54</v>
      </c>
    </row>
    <row r="10" spans="2:15" x14ac:dyDescent="0.45">
      <c r="B10" s="207" t="s">
        <v>20</v>
      </c>
      <c r="C10" s="11">
        <v>18</v>
      </c>
      <c r="D10" s="12">
        <v>0</v>
      </c>
      <c r="E10" s="13">
        <v>2</v>
      </c>
      <c r="F10" s="14">
        <v>3</v>
      </c>
      <c r="G10" s="15">
        <v>4</v>
      </c>
      <c r="H10" s="16">
        <v>8</v>
      </c>
      <c r="I10" s="17">
        <v>1</v>
      </c>
      <c r="J10" s="12">
        <v>5</v>
      </c>
      <c r="K10" s="19">
        <v>5</v>
      </c>
      <c r="L10" s="18">
        <v>5</v>
      </c>
      <c r="M10" s="2">
        <v>1</v>
      </c>
      <c r="N10" s="2">
        <v>20</v>
      </c>
      <c r="O10" s="2">
        <f t="shared" ref="O10" si="2">SUM(C10:L10)</f>
        <v>51</v>
      </c>
    </row>
    <row r="11" spans="2:15" x14ac:dyDescent="0.45">
      <c r="B11" s="207" t="s">
        <v>21</v>
      </c>
      <c r="C11" s="11">
        <v>18</v>
      </c>
      <c r="D11" s="12">
        <v>0</v>
      </c>
      <c r="E11" s="13">
        <v>2</v>
      </c>
      <c r="F11" s="14">
        <v>3</v>
      </c>
      <c r="G11" s="15">
        <v>4</v>
      </c>
      <c r="H11" s="16">
        <v>8</v>
      </c>
      <c r="I11" s="17">
        <v>1</v>
      </c>
      <c r="J11" s="12">
        <v>5</v>
      </c>
      <c r="K11" s="19">
        <v>5</v>
      </c>
      <c r="L11" s="18">
        <v>5</v>
      </c>
      <c r="M11" s="2">
        <v>1</v>
      </c>
      <c r="N11" s="2">
        <v>20</v>
      </c>
      <c r="O11" s="2">
        <f t="shared" si="0"/>
        <v>51</v>
      </c>
    </row>
    <row r="12" spans="2:15" x14ac:dyDescent="0.45">
      <c r="B12" s="209" t="s">
        <v>22</v>
      </c>
      <c r="C12" s="45">
        <v>25</v>
      </c>
      <c r="D12" s="23">
        <v>7</v>
      </c>
      <c r="E12" s="46">
        <v>0</v>
      </c>
      <c r="F12" s="47">
        <v>8</v>
      </c>
      <c r="G12" s="20">
        <v>6</v>
      </c>
      <c r="H12" s="21">
        <v>4</v>
      </c>
      <c r="I12" s="22">
        <v>7</v>
      </c>
      <c r="J12" s="23">
        <v>0</v>
      </c>
      <c r="K12" s="24">
        <v>5</v>
      </c>
      <c r="L12" s="25">
        <v>7</v>
      </c>
      <c r="M12" s="5">
        <v>4</v>
      </c>
      <c r="N12" s="5">
        <v>20</v>
      </c>
      <c r="O12" s="2">
        <f t="shared" si="0"/>
        <v>69</v>
      </c>
    </row>
    <row r="13" spans="2:15" x14ac:dyDescent="0.45">
      <c r="B13" s="208" t="s">
        <v>23</v>
      </c>
      <c r="C13" s="48">
        <v>18</v>
      </c>
      <c r="D13" s="49">
        <v>0</v>
      </c>
      <c r="E13" s="50">
        <v>4</v>
      </c>
      <c r="F13" s="51">
        <v>7</v>
      </c>
      <c r="G13" s="52">
        <v>10</v>
      </c>
      <c r="H13" s="53">
        <v>8</v>
      </c>
      <c r="I13" s="54">
        <v>2</v>
      </c>
      <c r="J13" s="49">
        <v>5</v>
      </c>
      <c r="K13" s="55">
        <v>7</v>
      </c>
      <c r="L13" s="56">
        <v>7</v>
      </c>
      <c r="M13" s="10">
        <v>2</v>
      </c>
      <c r="N13" s="10">
        <v>20</v>
      </c>
      <c r="O13" s="2">
        <f t="shared" si="0"/>
        <v>68</v>
      </c>
    </row>
    <row r="14" spans="2:15" x14ac:dyDescent="0.45">
      <c r="B14" s="208" t="s">
        <v>24</v>
      </c>
      <c r="C14" s="48">
        <v>25</v>
      </c>
      <c r="D14" s="49">
        <v>6</v>
      </c>
      <c r="E14" s="50">
        <v>0</v>
      </c>
      <c r="F14" s="51">
        <v>10</v>
      </c>
      <c r="G14" s="52">
        <v>10</v>
      </c>
      <c r="H14" s="53">
        <v>5</v>
      </c>
      <c r="I14" s="54">
        <v>5</v>
      </c>
      <c r="J14" s="49">
        <v>0</v>
      </c>
      <c r="K14" s="55">
        <v>7</v>
      </c>
      <c r="L14" s="56">
        <v>8</v>
      </c>
      <c r="M14" s="10">
        <v>7</v>
      </c>
      <c r="N14" s="10">
        <v>0</v>
      </c>
      <c r="O14" s="2">
        <f t="shared" si="0"/>
        <v>76</v>
      </c>
    </row>
    <row r="15" spans="2:15" x14ac:dyDescent="0.45">
      <c r="B15" s="208" t="s">
        <v>25</v>
      </c>
      <c r="C15" s="48">
        <v>27</v>
      </c>
      <c r="D15" s="49">
        <v>5</v>
      </c>
      <c r="E15" s="50">
        <v>3</v>
      </c>
      <c r="F15" s="51">
        <v>8</v>
      </c>
      <c r="G15" s="52">
        <v>9</v>
      </c>
      <c r="H15" s="53">
        <v>5</v>
      </c>
      <c r="I15" s="54">
        <v>4</v>
      </c>
      <c r="J15" s="49">
        <v>3</v>
      </c>
      <c r="K15" s="55">
        <v>5</v>
      </c>
      <c r="L15" s="56">
        <v>7</v>
      </c>
      <c r="M15" s="10">
        <v>6</v>
      </c>
      <c r="N15" s="10">
        <v>20</v>
      </c>
      <c r="O15" s="2">
        <f t="shared" si="0"/>
        <v>76</v>
      </c>
    </row>
    <row r="16" spans="2:15" x14ac:dyDescent="0.45">
      <c r="B16" s="210" t="s">
        <v>26</v>
      </c>
      <c r="C16" s="159">
        <v>27</v>
      </c>
      <c r="D16" s="160">
        <v>5</v>
      </c>
      <c r="E16" s="161">
        <v>3</v>
      </c>
      <c r="F16" s="162">
        <v>8</v>
      </c>
      <c r="G16" s="163">
        <v>9</v>
      </c>
      <c r="H16" s="164">
        <v>5</v>
      </c>
      <c r="I16" s="165">
        <v>4</v>
      </c>
      <c r="J16" s="160">
        <v>3</v>
      </c>
      <c r="K16" s="166">
        <v>5</v>
      </c>
      <c r="L16" s="167">
        <v>7</v>
      </c>
      <c r="M16" s="153">
        <v>6</v>
      </c>
      <c r="N16" s="153">
        <v>20</v>
      </c>
      <c r="O16" s="5">
        <f>SUM(C16:L16)</f>
        <v>76</v>
      </c>
    </row>
    <row r="17" spans="2:15" x14ac:dyDescent="0.45">
      <c r="B17" s="208" t="s">
        <v>27</v>
      </c>
      <c r="C17" s="48">
        <v>24</v>
      </c>
      <c r="D17" s="49">
        <v>6</v>
      </c>
      <c r="E17" s="50">
        <v>0</v>
      </c>
      <c r="F17" s="51">
        <v>11</v>
      </c>
      <c r="G17" s="52">
        <v>14</v>
      </c>
      <c r="H17" s="53">
        <v>5</v>
      </c>
      <c r="I17" s="54">
        <v>4</v>
      </c>
      <c r="J17" s="49">
        <v>0</v>
      </c>
      <c r="K17" s="55">
        <v>6</v>
      </c>
      <c r="L17" s="56">
        <v>7</v>
      </c>
      <c r="M17" s="10">
        <v>1</v>
      </c>
      <c r="N17" s="10">
        <v>0</v>
      </c>
      <c r="O17" s="10">
        <f>SUM(C17:L17)</f>
        <v>77</v>
      </c>
    </row>
  </sheetData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7A1C-EA10-4C02-BEF1-C0960E65FCB9}">
  <sheetPr>
    <pageSetUpPr fitToPage="1"/>
  </sheetPr>
  <dimension ref="B1:O19"/>
  <sheetViews>
    <sheetView zoomScaleNormal="100" workbookViewId="0">
      <selection activeCell="S8" sqref="S8"/>
    </sheetView>
  </sheetViews>
  <sheetFormatPr defaultColWidth="9" defaultRowHeight="18" x14ac:dyDescent="0.45"/>
  <cols>
    <col min="1" max="1" width="5.59765625" style="1" customWidth="1"/>
    <col min="2" max="2" width="34.8984375" style="1" bestFit="1" customWidth="1"/>
    <col min="3" max="16384" width="9" style="1"/>
  </cols>
  <sheetData>
    <row r="1" spans="2:15" s="3" customFormat="1" ht="31.5" customHeight="1" x14ac:dyDescent="0.45">
      <c r="B1" s="4" t="s">
        <v>28</v>
      </c>
    </row>
    <row r="3" spans="2:15" x14ac:dyDescent="0.45">
      <c r="B3" s="2"/>
      <c r="C3" s="11" t="s">
        <v>1</v>
      </c>
      <c r="D3" s="12" t="s">
        <v>2</v>
      </c>
      <c r="E3" s="13" t="s">
        <v>3</v>
      </c>
      <c r="F3" s="14" t="s">
        <v>4</v>
      </c>
      <c r="G3" s="15" t="s">
        <v>5</v>
      </c>
      <c r="H3" s="16" t="s">
        <v>6</v>
      </c>
      <c r="I3" s="17" t="s">
        <v>7</v>
      </c>
      <c r="J3" s="12" t="s">
        <v>8</v>
      </c>
      <c r="K3" s="19" t="s">
        <v>9</v>
      </c>
      <c r="L3" s="18" t="s">
        <v>10</v>
      </c>
      <c r="M3" s="2" t="s">
        <v>11</v>
      </c>
      <c r="N3" s="2" t="s">
        <v>12</v>
      </c>
      <c r="O3" s="2" t="s">
        <v>29</v>
      </c>
    </row>
    <row r="4" spans="2:15" x14ac:dyDescent="0.45">
      <c r="B4" s="2" t="s">
        <v>14</v>
      </c>
      <c r="C4" s="58">
        <v>0.8</v>
      </c>
      <c r="D4" s="59">
        <v>0.4</v>
      </c>
      <c r="E4" s="60">
        <v>0.05</v>
      </c>
      <c r="F4" s="61">
        <v>0.3</v>
      </c>
      <c r="G4" s="62">
        <v>0.3</v>
      </c>
      <c r="H4" s="63">
        <v>0.2</v>
      </c>
      <c r="I4" s="64">
        <v>0.4</v>
      </c>
      <c r="J4" s="65">
        <v>0.05</v>
      </c>
      <c r="K4" s="66">
        <v>0</v>
      </c>
      <c r="L4" s="67">
        <v>0.4</v>
      </c>
      <c r="M4" s="5">
        <v>6</v>
      </c>
      <c r="N4" s="2">
        <v>0</v>
      </c>
      <c r="O4" s="57">
        <f>SUM(C4:L4)</f>
        <v>2.9</v>
      </c>
    </row>
    <row r="5" spans="2:15" x14ac:dyDescent="0.45">
      <c r="B5" s="2" t="s">
        <v>15</v>
      </c>
      <c r="C5" s="58">
        <v>0.8</v>
      </c>
      <c r="D5" s="59">
        <v>0.6</v>
      </c>
      <c r="E5" s="60">
        <v>0.1</v>
      </c>
      <c r="F5" s="68">
        <v>0.8</v>
      </c>
      <c r="G5" s="69">
        <v>0.8</v>
      </c>
      <c r="H5" s="70">
        <v>0.8</v>
      </c>
      <c r="I5" s="71">
        <v>0.3</v>
      </c>
      <c r="J5" s="65">
        <v>0.2</v>
      </c>
      <c r="K5" s="73">
        <v>0</v>
      </c>
      <c r="L5" s="74">
        <v>0.7</v>
      </c>
      <c r="M5" s="6">
        <v>1</v>
      </c>
      <c r="N5" s="8">
        <v>20</v>
      </c>
      <c r="O5" s="57">
        <f t="shared" ref="O5:O15" si="0">SUM(C5:L5)</f>
        <v>5.0999999999999996</v>
      </c>
    </row>
    <row r="6" spans="2:15" x14ac:dyDescent="0.45">
      <c r="B6" s="5" t="s">
        <v>30</v>
      </c>
      <c r="C6" s="92">
        <v>0.7</v>
      </c>
      <c r="D6" s="65">
        <v>0.4</v>
      </c>
      <c r="E6" s="93">
        <v>0.1</v>
      </c>
      <c r="F6" s="130">
        <v>0.5</v>
      </c>
      <c r="G6" s="131">
        <v>0.5</v>
      </c>
      <c r="H6" s="63">
        <v>0.4</v>
      </c>
      <c r="I6" s="64">
        <v>0.2</v>
      </c>
      <c r="J6" s="65">
        <v>0.1</v>
      </c>
      <c r="K6" s="66">
        <v>0</v>
      </c>
      <c r="L6" s="67">
        <v>0.4</v>
      </c>
      <c r="M6" s="132">
        <v>4</v>
      </c>
      <c r="N6" s="133">
        <v>20</v>
      </c>
      <c r="O6" s="134">
        <f t="shared" si="0"/>
        <v>3.3000000000000003</v>
      </c>
    </row>
    <row r="7" spans="2:15" x14ac:dyDescent="0.45">
      <c r="B7" s="10" t="s">
        <v>31</v>
      </c>
      <c r="C7" s="92">
        <v>0.7</v>
      </c>
      <c r="D7" s="65">
        <v>0.4</v>
      </c>
      <c r="E7" s="93">
        <v>0.1</v>
      </c>
      <c r="F7" s="130">
        <v>0.5</v>
      </c>
      <c r="G7" s="131">
        <v>0.5</v>
      </c>
      <c r="H7" s="63">
        <v>0.4</v>
      </c>
      <c r="I7" s="64">
        <v>0.2</v>
      </c>
      <c r="J7" s="65">
        <v>0.1</v>
      </c>
      <c r="K7" s="66">
        <v>0</v>
      </c>
      <c r="L7" s="67">
        <v>0.4</v>
      </c>
      <c r="M7" s="132">
        <v>4</v>
      </c>
      <c r="N7" s="133">
        <v>20</v>
      </c>
      <c r="O7" s="134">
        <f t="shared" si="0"/>
        <v>3.3000000000000003</v>
      </c>
    </row>
    <row r="8" spans="2:15" x14ac:dyDescent="0.45">
      <c r="B8" s="142" t="s">
        <v>18</v>
      </c>
      <c r="C8" s="95">
        <v>0.9</v>
      </c>
      <c r="D8" s="96">
        <v>0.5</v>
      </c>
      <c r="E8" s="97">
        <v>0.05</v>
      </c>
      <c r="F8" s="98">
        <v>0.5</v>
      </c>
      <c r="G8" s="99">
        <v>0.4</v>
      </c>
      <c r="H8" s="100">
        <v>0.4</v>
      </c>
      <c r="I8" s="101">
        <v>0.3</v>
      </c>
      <c r="J8" s="96">
        <v>0.05</v>
      </c>
      <c r="K8" s="102">
        <v>0</v>
      </c>
      <c r="L8" s="103">
        <v>0.5</v>
      </c>
      <c r="M8" s="143">
        <v>3</v>
      </c>
      <c r="N8" s="141">
        <v>20</v>
      </c>
      <c r="O8" s="129">
        <f t="shared" si="0"/>
        <v>3.5999999999999996</v>
      </c>
    </row>
    <row r="9" spans="2:15" x14ac:dyDescent="0.45">
      <c r="B9" s="2" t="s">
        <v>19</v>
      </c>
      <c r="C9" s="135">
        <v>0.6</v>
      </c>
      <c r="D9" s="84">
        <v>0.2</v>
      </c>
      <c r="E9" s="136">
        <v>0.05</v>
      </c>
      <c r="F9" s="137">
        <v>0.4</v>
      </c>
      <c r="G9" s="81">
        <v>0.9</v>
      </c>
      <c r="H9" s="82">
        <v>0.6</v>
      </c>
      <c r="I9" s="83">
        <v>0.1</v>
      </c>
      <c r="J9" s="128">
        <v>0.1</v>
      </c>
      <c r="K9" s="85">
        <v>0.05</v>
      </c>
      <c r="L9" s="86">
        <v>0.5</v>
      </c>
      <c r="M9" s="9">
        <v>1</v>
      </c>
      <c r="N9" s="9">
        <v>0</v>
      </c>
      <c r="O9" s="138">
        <f t="shared" si="0"/>
        <v>3.5</v>
      </c>
    </row>
    <row r="10" spans="2:15" x14ac:dyDescent="0.45">
      <c r="B10" s="2" t="s">
        <v>20</v>
      </c>
      <c r="C10" s="58">
        <v>0.6</v>
      </c>
      <c r="D10" s="59">
        <v>0</v>
      </c>
      <c r="E10" s="60">
        <v>0.2</v>
      </c>
      <c r="F10" s="61">
        <v>0.4</v>
      </c>
      <c r="G10" s="87">
        <v>0.4</v>
      </c>
      <c r="H10" s="88">
        <v>0.7</v>
      </c>
      <c r="I10" s="89">
        <v>0.1</v>
      </c>
      <c r="J10" s="59">
        <v>0.4</v>
      </c>
      <c r="K10" s="90">
        <v>0</v>
      </c>
      <c r="L10" s="91">
        <v>0.7</v>
      </c>
      <c r="M10" s="2">
        <v>1</v>
      </c>
      <c r="N10" s="2">
        <v>20</v>
      </c>
      <c r="O10" s="57">
        <f t="shared" ref="O10" si="1">SUM(C10:L10)</f>
        <v>3.5</v>
      </c>
    </row>
    <row r="11" spans="2:15" x14ac:dyDescent="0.45">
      <c r="B11" s="2" t="s">
        <v>21</v>
      </c>
      <c r="C11" s="58">
        <v>0.6</v>
      </c>
      <c r="D11" s="59">
        <v>0</v>
      </c>
      <c r="E11" s="60">
        <v>0.2</v>
      </c>
      <c r="F11" s="61">
        <v>0.4</v>
      </c>
      <c r="G11" s="87">
        <v>0.4</v>
      </c>
      <c r="H11" s="88">
        <v>0.7</v>
      </c>
      <c r="I11" s="89">
        <v>0.1</v>
      </c>
      <c r="J11" s="59">
        <v>0.4</v>
      </c>
      <c r="K11" s="90">
        <v>0</v>
      </c>
      <c r="L11" s="91">
        <v>0.7</v>
      </c>
      <c r="M11" s="2">
        <v>1</v>
      </c>
      <c r="N11" s="2">
        <v>20</v>
      </c>
      <c r="O11" s="57">
        <f t="shared" si="0"/>
        <v>3.5</v>
      </c>
    </row>
    <row r="12" spans="2:15" x14ac:dyDescent="0.45">
      <c r="B12" s="5" t="s">
        <v>22</v>
      </c>
      <c r="C12" s="92">
        <v>0.6</v>
      </c>
      <c r="D12" s="65">
        <v>0.5</v>
      </c>
      <c r="E12" s="93">
        <v>0.05</v>
      </c>
      <c r="F12" s="94">
        <v>0.7</v>
      </c>
      <c r="G12" s="62">
        <v>0.4</v>
      </c>
      <c r="H12" s="63">
        <v>0.4</v>
      </c>
      <c r="I12" s="64">
        <v>0.4</v>
      </c>
      <c r="J12" s="65">
        <v>0.1</v>
      </c>
      <c r="K12" s="66">
        <v>0</v>
      </c>
      <c r="L12" s="67">
        <v>0.8</v>
      </c>
      <c r="M12" s="5">
        <v>4</v>
      </c>
      <c r="N12" s="5">
        <v>20</v>
      </c>
      <c r="O12" s="57">
        <f t="shared" si="0"/>
        <v>3.95</v>
      </c>
    </row>
    <row r="13" spans="2:15" x14ac:dyDescent="0.45">
      <c r="B13" s="10" t="s">
        <v>23</v>
      </c>
      <c r="C13" s="95">
        <v>0.5</v>
      </c>
      <c r="D13" s="96">
        <v>0</v>
      </c>
      <c r="E13" s="97">
        <v>0.4</v>
      </c>
      <c r="F13" s="98">
        <v>0.7</v>
      </c>
      <c r="G13" s="99">
        <v>0.8</v>
      </c>
      <c r="H13" s="100">
        <v>0.7</v>
      </c>
      <c r="I13" s="101">
        <v>0.2</v>
      </c>
      <c r="J13" s="96">
        <v>0.4</v>
      </c>
      <c r="K13" s="102">
        <v>0</v>
      </c>
      <c r="L13" s="103">
        <v>0.7</v>
      </c>
      <c r="M13" s="10">
        <v>2</v>
      </c>
      <c r="N13" s="10">
        <v>20</v>
      </c>
      <c r="O13" s="57">
        <f t="shared" si="0"/>
        <v>4.4000000000000004</v>
      </c>
    </row>
    <row r="14" spans="2:15" x14ac:dyDescent="0.45">
      <c r="B14" s="10" t="s">
        <v>24</v>
      </c>
      <c r="C14" s="95">
        <v>0.5</v>
      </c>
      <c r="D14" s="96">
        <v>0.2</v>
      </c>
      <c r="E14" s="97">
        <v>0.05</v>
      </c>
      <c r="F14" s="98">
        <v>0.5</v>
      </c>
      <c r="G14" s="99">
        <v>0.2</v>
      </c>
      <c r="H14" s="100">
        <v>0.2</v>
      </c>
      <c r="I14" s="101">
        <v>0.1</v>
      </c>
      <c r="J14" s="96">
        <v>0.05</v>
      </c>
      <c r="K14" s="102">
        <v>0</v>
      </c>
      <c r="L14" s="103">
        <v>0.7</v>
      </c>
      <c r="M14" s="10">
        <v>7</v>
      </c>
      <c r="N14" s="10">
        <v>0</v>
      </c>
      <c r="O14" s="57">
        <f t="shared" si="0"/>
        <v>2.5</v>
      </c>
    </row>
    <row r="15" spans="2:15" x14ac:dyDescent="0.45">
      <c r="B15" s="10" t="s">
        <v>25</v>
      </c>
      <c r="C15" s="95">
        <v>0.7</v>
      </c>
      <c r="D15" s="96">
        <v>0.2</v>
      </c>
      <c r="E15" s="97">
        <v>0.2</v>
      </c>
      <c r="F15" s="98">
        <v>0.4</v>
      </c>
      <c r="G15" s="99">
        <v>0.4</v>
      </c>
      <c r="H15" s="100">
        <v>0.5</v>
      </c>
      <c r="I15" s="101">
        <v>0.2</v>
      </c>
      <c r="J15" s="96">
        <v>0.2</v>
      </c>
      <c r="K15" s="102">
        <v>0</v>
      </c>
      <c r="L15" s="103">
        <v>0.8</v>
      </c>
      <c r="M15" s="10">
        <v>6</v>
      </c>
      <c r="N15" s="10">
        <v>20</v>
      </c>
      <c r="O15" s="57">
        <f t="shared" si="0"/>
        <v>3.6000000000000005</v>
      </c>
    </row>
    <row r="16" spans="2:15" x14ac:dyDescent="0.45">
      <c r="B16" s="10" t="s">
        <v>26</v>
      </c>
      <c r="C16" s="95">
        <v>0.7</v>
      </c>
      <c r="D16" s="96">
        <v>0.2</v>
      </c>
      <c r="E16" s="97">
        <v>0.2</v>
      </c>
      <c r="F16" s="98">
        <v>0.4</v>
      </c>
      <c r="G16" s="99">
        <v>0.4</v>
      </c>
      <c r="H16" s="100">
        <v>0.5</v>
      </c>
      <c r="I16" s="101">
        <v>0.2</v>
      </c>
      <c r="J16" s="96">
        <v>0.2</v>
      </c>
      <c r="K16" s="102">
        <v>0</v>
      </c>
      <c r="L16" s="103">
        <v>0.8</v>
      </c>
      <c r="M16" s="10">
        <v>6</v>
      </c>
      <c r="N16" s="10">
        <v>20</v>
      </c>
      <c r="O16" s="57">
        <f t="shared" ref="O16" si="2">SUM(C16:L16)</f>
        <v>3.6000000000000005</v>
      </c>
    </row>
    <row r="17" spans="2:15" x14ac:dyDescent="0.45">
      <c r="B17" s="10" t="s">
        <v>27</v>
      </c>
      <c r="C17" s="95">
        <v>0.7</v>
      </c>
      <c r="D17" s="96">
        <v>0.3</v>
      </c>
      <c r="E17" s="97">
        <v>0</v>
      </c>
      <c r="F17" s="98">
        <v>0.8</v>
      </c>
      <c r="G17" s="99">
        <v>0.8</v>
      </c>
      <c r="H17" s="100">
        <v>0.4</v>
      </c>
      <c r="I17" s="101">
        <v>0.2</v>
      </c>
      <c r="J17" s="96">
        <v>0.1</v>
      </c>
      <c r="K17" s="102">
        <v>0</v>
      </c>
      <c r="L17" s="103">
        <v>0.6</v>
      </c>
      <c r="M17" s="10">
        <v>1</v>
      </c>
      <c r="N17" s="10">
        <v>20</v>
      </c>
      <c r="O17" s="57">
        <f t="shared" ref="O17" si="3">SUM(C17:L17)</f>
        <v>3.9000000000000004</v>
      </c>
    </row>
    <row r="18" spans="2:15" x14ac:dyDescent="0.45">
      <c r="B18" s="10" t="s">
        <v>96</v>
      </c>
      <c r="C18" s="95">
        <v>0.7</v>
      </c>
      <c r="D18" s="96">
        <v>0.3</v>
      </c>
      <c r="E18" s="97">
        <v>0.05</v>
      </c>
      <c r="F18" s="98">
        <v>0.5</v>
      </c>
      <c r="G18" s="99">
        <v>0.6</v>
      </c>
      <c r="H18" s="100">
        <v>0.4</v>
      </c>
      <c r="I18" s="101">
        <v>0.2</v>
      </c>
      <c r="J18" s="96">
        <v>0.05</v>
      </c>
      <c r="K18" s="102">
        <v>0</v>
      </c>
      <c r="L18" s="103">
        <v>0.5</v>
      </c>
      <c r="M18" s="10">
        <v>11</v>
      </c>
      <c r="N18" s="10">
        <v>0</v>
      </c>
      <c r="O18" s="57">
        <f t="shared" ref="O18:O19" si="4">SUM(C18:L18)</f>
        <v>3.3</v>
      </c>
    </row>
    <row r="19" spans="2:15" x14ac:dyDescent="0.45">
      <c r="B19" s="10" t="s">
        <v>97</v>
      </c>
      <c r="C19" s="95">
        <v>0.9</v>
      </c>
      <c r="D19" s="96">
        <v>0.2</v>
      </c>
      <c r="E19" s="97">
        <v>0.05</v>
      </c>
      <c r="F19" s="98">
        <v>0.5</v>
      </c>
      <c r="G19" s="99">
        <v>0.4</v>
      </c>
      <c r="H19" s="100">
        <v>0.1</v>
      </c>
      <c r="I19" s="101">
        <v>0.4</v>
      </c>
      <c r="J19" s="96">
        <v>0.05</v>
      </c>
      <c r="K19" s="102">
        <v>0</v>
      </c>
      <c r="L19" s="103">
        <v>0.7</v>
      </c>
      <c r="M19" s="10">
        <v>11</v>
      </c>
      <c r="N19" s="10">
        <v>0</v>
      </c>
      <c r="O19" s="57">
        <f t="shared" si="4"/>
        <v>3.3</v>
      </c>
    </row>
  </sheetData>
  <phoneticPr fontId="1"/>
  <pageMargins left="0.7" right="0.7" top="0.75" bottom="0.75" header="0.3" footer="0.3"/>
  <pageSetup paperSize="9" scale="6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91B-07DD-4D8F-92F6-5A967444BD77}">
  <dimension ref="B1:O17"/>
  <sheetViews>
    <sheetView workbookViewId="0">
      <selection activeCell="B17" sqref="B17"/>
    </sheetView>
  </sheetViews>
  <sheetFormatPr defaultColWidth="9" defaultRowHeight="18" x14ac:dyDescent="0.45"/>
  <cols>
    <col min="1" max="1" width="5.59765625" style="1" customWidth="1"/>
    <col min="2" max="2" width="41" style="1" bestFit="1" customWidth="1"/>
    <col min="3" max="16384" width="9" style="1"/>
  </cols>
  <sheetData>
    <row r="1" spans="2:15" s="3" customFormat="1" ht="31.5" customHeight="1" x14ac:dyDescent="0.45">
      <c r="B1" s="4" t="s">
        <v>32</v>
      </c>
    </row>
    <row r="3" spans="2:15" x14ac:dyDescent="0.45">
      <c r="B3" s="2"/>
      <c r="C3" s="11" t="s">
        <v>1</v>
      </c>
      <c r="D3" s="12" t="s">
        <v>2</v>
      </c>
      <c r="E3" s="13" t="s">
        <v>3</v>
      </c>
      <c r="F3" s="14" t="s">
        <v>4</v>
      </c>
      <c r="G3" s="15" t="s">
        <v>5</v>
      </c>
      <c r="H3" s="16" t="s">
        <v>6</v>
      </c>
      <c r="I3" s="17" t="s">
        <v>7</v>
      </c>
      <c r="J3" s="12" t="s">
        <v>8</v>
      </c>
      <c r="K3" s="19" t="s">
        <v>9</v>
      </c>
      <c r="L3" s="18" t="s">
        <v>10</v>
      </c>
      <c r="M3" s="2" t="s">
        <v>11</v>
      </c>
      <c r="N3" s="2" t="s">
        <v>12</v>
      </c>
      <c r="O3" s="2" t="s">
        <v>29</v>
      </c>
    </row>
    <row r="4" spans="2:15" x14ac:dyDescent="0.45">
      <c r="B4" s="2" t="s">
        <v>14</v>
      </c>
      <c r="C4" s="58">
        <v>0.8</v>
      </c>
      <c r="D4" s="59">
        <v>0.3</v>
      </c>
      <c r="E4" s="60">
        <v>0</v>
      </c>
      <c r="F4" s="61">
        <v>0.3</v>
      </c>
      <c r="G4" s="62">
        <v>0.3</v>
      </c>
      <c r="H4" s="63">
        <v>0.2</v>
      </c>
      <c r="I4" s="64">
        <v>0.3</v>
      </c>
      <c r="J4" s="65">
        <v>0.05</v>
      </c>
      <c r="K4" s="66">
        <v>0</v>
      </c>
      <c r="L4" s="67">
        <v>0.6</v>
      </c>
      <c r="M4" s="5">
        <v>6</v>
      </c>
      <c r="N4" s="2">
        <v>0</v>
      </c>
      <c r="O4" s="57">
        <f>SUM(C4:L4)</f>
        <v>2.85</v>
      </c>
    </row>
    <row r="5" spans="2:15" x14ac:dyDescent="0.45">
      <c r="B5" s="2" t="s">
        <v>15</v>
      </c>
      <c r="C5" s="58">
        <v>1.2</v>
      </c>
      <c r="D5" s="59">
        <v>0.5</v>
      </c>
      <c r="E5" s="60">
        <v>0</v>
      </c>
      <c r="F5" s="68">
        <v>0.8</v>
      </c>
      <c r="G5" s="69">
        <v>0.8</v>
      </c>
      <c r="H5" s="70">
        <v>0.8</v>
      </c>
      <c r="I5" s="71">
        <v>0.3</v>
      </c>
      <c r="J5" s="65">
        <v>7.0000000000000007E-2</v>
      </c>
      <c r="K5" s="73">
        <v>0</v>
      </c>
      <c r="L5" s="74">
        <v>0.8</v>
      </c>
      <c r="M5" s="6">
        <v>1</v>
      </c>
      <c r="N5" s="8">
        <v>20</v>
      </c>
      <c r="O5" s="57">
        <f t="shared" ref="O5:O17" si="0">SUM(C5:L5)</f>
        <v>5.27</v>
      </c>
    </row>
    <row r="6" spans="2:15" x14ac:dyDescent="0.45">
      <c r="B6" s="2" t="s">
        <v>33</v>
      </c>
      <c r="C6" s="92">
        <v>0.7</v>
      </c>
      <c r="D6" s="65">
        <v>0.4</v>
      </c>
      <c r="E6" s="93">
        <v>0.1</v>
      </c>
      <c r="F6" s="130">
        <v>0.5</v>
      </c>
      <c r="G6" s="131">
        <v>0.5</v>
      </c>
      <c r="H6" s="63">
        <v>0.4</v>
      </c>
      <c r="I6" s="64">
        <v>0.2</v>
      </c>
      <c r="J6" s="65">
        <v>0.1</v>
      </c>
      <c r="K6" s="66">
        <v>0</v>
      </c>
      <c r="L6" s="67">
        <v>0.4</v>
      </c>
      <c r="M6" s="7">
        <v>4</v>
      </c>
      <c r="N6" s="8">
        <v>20</v>
      </c>
      <c r="O6" s="57">
        <f t="shared" si="0"/>
        <v>3.3000000000000003</v>
      </c>
    </row>
    <row r="7" spans="2:15" x14ac:dyDescent="0.45">
      <c r="B7" s="10" t="s">
        <v>31</v>
      </c>
      <c r="C7" s="92">
        <v>0.7</v>
      </c>
      <c r="D7" s="65">
        <v>0.4</v>
      </c>
      <c r="E7" s="93">
        <v>0.1</v>
      </c>
      <c r="F7" s="130">
        <v>0.5</v>
      </c>
      <c r="G7" s="131">
        <v>0.5</v>
      </c>
      <c r="H7" s="63">
        <v>0.4</v>
      </c>
      <c r="I7" s="64">
        <v>0.2</v>
      </c>
      <c r="J7" s="65">
        <v>0.1</v>
      </c>
      <c r="K7" s="66">
        <v>0</v>
      </c>
      <c r="L7" s="67">
        <v>0.4</v>
      </c>
      <c r="M7" s="7">
        <v>4</v>
      </c>
      <c r="N7" s="8">
        <v>20</v>
      </c>
      <c r="O7" s="57">
        <f t="shared" si="0"/>
        <v>3.3000000000000003</v>
      </c>
    </row>
    <row r="8" spans="2:15" x14ac:dyDescent="0.45">
      <c r="B8" s="139" t="s">
        <v>18</v>
      </c>
      <c r="C8" s="95">
        <v>0.9</v>
      </c>
      <c r="D8" s="96">
        <v>0.5</v>
      </c>
      <c r="E8" s="97">
        <v>0</v>
      </c>
      <c r="F8" s="98">
        <v>0.5</v>
      </c>
      <c r="G8" s="99">
        <v>0.4</v>
      </c>
      <c r="H8" s="100">
        <v>0.4</v>
      </c>
      <c r="I8" s="101">
        <v>0.3</v>
      </c>
      <c r="J8" s="96">
        <v>0</v>
      </c>
      <c r="K8" s="102">
        <v>0</v>
      </c>
      <c r="L8" s="103">
        <v>0.6</v>
      </c>
      <c r="M8" s="140">
        <v>3</v>
      </c>
      <c r="N8" s="2">
        <v>20</v>
      </c>
      <c r="O8" s="57">
        <f t="shared" si="0"/>
        <v>3.5999999999999996</v>
      </c>
    </row>
    <row r="9" spans="2:15" x14ac:dyDescent="0.45">
      <c r="B9" s="2" t="s">
        <v>19</v>
      </c>
      <c r="C9" s="135">
        <v>0.6</v>
      </c>
      <c r="D9" s="84">
        <v>0.2</v>
      </c>
      <c r="E9" s="136">
        <v>0</v>
      </c>
      <c r="F9" s="137">
        <v>0.4</v>
      </c>
      <c r="G9" s="81">
        <v>0.9</v>
      </c>
      <c r="H9" s="82">
        <v>0.6</v>
      </c>
      <c r="I9" s="83">
        <v>0.1</v>
      </c>
      <c r="J9" s="128">
        <v>0.05</v>
      </c>
      <c r="K9" s="85">
        <v>0.05</v>
      </c>
      <c r="L9" s="86">
        <v>0.6</v>
      </c>
      <c r="M9" s="2">
        <v>1</v>
      </c>
      <c r="N9" s="2">
        <v>0</v>
      </c>
      <c r="O9" s="57">
        <f t="shared" si="0"/>
        <v>3.5</v>
      </c>
    </row>
    <row r="10" spans="2:15" x14ac:dyDescent="0.45">
      <c r="B10" s="2" t="s">
        <v>20</v>
      </c>
      <c r="C10" s="58">
        <v>0.6</v>
      </c>
      <c r="D10" s="59">
        <v>0</v>
      </c>
      <c r="E10" s="60">
        <v>0.2</v>
      </c>
      <c r="F10" s="61">
        <v>0.4</v>
      </c>
      <c r="G10" s="87">
        <v>0.4</v>
      </c>
      <c r="H10" s="88">
        <v>0.7</v>
      </c>
      <c r="I10" s="89">
        <v>0.1</v>
      </c>
      <c r="J10" s="59">
        <v>0.3</v>
      </c>
      <c r="K10" s="90">
        <v>0</v>
      </c>
      <c r="L10" s="91">
        <v>0.8</v>
      </c>
      <c r="M10" s="2">
        <v>1</v>
      </c>
      <c r="N10" s="2">
        <v>20</v>
      </c>
      <c r="O10" s="57">
        <f t="shared" ref="O10" si="1">SUM(C10:L10)</f>
        <v>3.5</v>
      </c>
    </row>
    <row r="11" spans="2:15" x14ac:dyDescent="0.45">
      <c r="B11" s="2" t="s">
        <v>21</v>
      </c>
      <c r="C11" s="58">
        <v>0.6</v>
      </c>
      <c r="D11" s="59">
        <v>0</v>
      </c>
      <c r="E11" s="60">
        <v>0.2</v>
      </c>
      <c r="F11" s="61">
        <v>0.4</v>
      </c>
      <c r="G11" s="87">
        <v>0.4</v>
      </c>
      <c r="H11" s="88">
        <v>0.7</v>
      </c>
      <c r="I11" s="89">
        <v>0.1</v>
      </c>
      <c r="J11" s="59">
        <v>0.3</v>
      </c>
      <c r="K11" s="90">
        <v>0</v>
      </c>
      <c r="L11" s="91">
        <v>0.8</v>
      </c>
      <c r="M11" s="2">
        <v>1</v>
      </c>
      <c r="N11" s="2">
        <v>20</v>
      </c>
      <c r="O11" s="57">
        <f t="shared" si="0"/>
        <v>3.5</v>
      </c>
    </row>
    <row r="12" spans="2:15" x14ac:dyDescent="0.45">
      <c r="B12" s="5" t="s">
        <v>22</v>
      </c>
      <c r="C12" s="92">
        <v>0.6</v>
      </c>
      <c r="D12" s="65">
        <v>0.5</v>
      </c>
      <c r="E12" s="93">
        <v>0</v>
      </c>
      <c r="F12" s="94">
        <v>0.7</v>
      </c>
      <c r="G12" s="62">
        <v>0.4</v>
      </c>
      <c r="H12" s="63">
        <v>0.4</v>
      </c>
      <c r="I12" s="64">
        <v>0.4</v>
      </c>
      <c r="J12" s="65">
        <v>0.05</v>
      </c>
      <c r="K12" s="66">
        <v>0</v>
      </c>
      <c r="L12" s="67">
        <v>0.8</v>
      </c>
      <c r="M12" s="5">
        <v>4</v>
      </c>
      <c r="N12" s="5">
        <v>20</v>
      </c>
      <c r="O12" s="57">
        <f t="shared" si="0"/>
        <v>3.8499999999999996</v>
      </c>
    </row>
    <row r="13" spans="2:15" x14ac:dyDescent="0.45">
      <c r="B13" s="10" t="s">
        <v>23</v>
      </c>
      <c r="C13" s="95">
        <v>0.5</v>
      </c>
      <c r="D13" s="96">
        <v>0</v>
      </c>
      <c r="E13" s="97">
        <v>0.4</v>
      </c>
      <c r="F13" s="98">
        <v>0.7</v>
      </c>
      <c r="G13" s="99">
        <v>0.8</v>
      </c>
      <c r="H13" s="100">
        <v>0.7</v>
      </c>
      <c r="I13" s="101">
        <v>0.2</v>
      </c>
      <c r="J13" s="96">
        <v>0.3</v>
      </c>
      <c r="K13" s="102">
        <v>0</v>
      </c>
      <c r="L13" s="103">
        <v>0.7</v>
      </c>
      <c r="M13" s="10">
        <v>2</v>
      </c>
      <c r="N13" s="10">
        <v>20</v>
      </c>
      <c r="O13" s="57">
        <f t="shared" si="0"/>
        <v>4.3000000000000007</v>
      </c>
    </row>
    <row r="14" spans="2:15" x14ac:dyDescent="0.45">
      <c r="B14" s="10" t="s">
        <v>24</v>
      </c>
      <c r="C14" s="95">
        <v>0.5</v>
      </c>
      <c r="D14" s="96">
        <v>0.2</v>
      </c>
      <c r="E14" s="97">
        <v>0</v>
      </c>
      <c r="F14" s="98">
        <v>0.5</v>
      </c>
      <c r="G14" s="99">
        <v>0.2</v>
      </c>
      <c r="H14" s="100">
        <v>0.2</v>
      </c>
      <c r="I14" s="101">
        <v>0.1</v>
      </c>
      <c r="J14" s="96">
        <v>0.05</v>
      </c>
      <c r="K14" s="102">
        <v>0</v>
      </c>
      <c r="L14" s="103">
        <v>0.7</v>
      </c>
      <c r="M14" s="10">
        <v>7</v>
      </c>
      <c r="N14" s="10">
        <v>0</v>
      </c>
      <c r="O14" s="57">
        <f t="shared" si="0"/>
        <v>2.4500000000000002</v>
      </c>
    </row>
    <row r="15" spans="2:15" x14ac:dyDescent="0.45">
      <c r="B15" s="10" t="s">
        <v>25</v>
      </c>
      <c r="C15" s="95">
        <v>0.7</v>
      </c>
      <c r="D15" s="96">
        <v>0.4</v>
      </c>
      <c r="E15" s="97">
        <v>0.2</v>
      </c>
      <c r="F15" s="98">
        <v>0.4</v>
      </c>
      <c r="G15" s="99">
        <v>0.4</v>
      </c>
      <c r="H15" s="100">
        <v>0.5</v>
      </c>
      <c r="I15" s="101">
        <v>0.4</v>
      </c>
      <c r="J15" s="96">
        <v>0.2</v>
      </c>
      <c r="K15" s="102">
        <v>0</v>
      </c>
      <c r="L15" s="103">
        <v>0.5</v>
      </c>
      <c r="M15" s="10">
        <v>6</v>
      </c>
      <c r="N15" s="10">
        <v>20</v>
      </c>
      <c r="O15" s="57">
        <f t="shared" si="0"/>
        <v>3.7</v>
      </c>
    </row>
    <row r="16" spans="2:15" x14ac:dyDescent="0.45">
      <c r="B16" s="10" t="s">
        <v>26</v>
      </c>
      <c r="C16" s="95">
        <v>0.7</v>
      </c>
      <c r="D16" s="96">
        <v>0.2</v>
      </c>
      <c r="E16" s="97">
        <v>0.4</v>
      </c>
      <c r="F16" s="98">
        <v>0.4</v>
      </c>
      <c r="G16" s="99">
        <v>0.4</v>
      </c>
      <c r="H16" s="100">
        <v>0.5</v>
      </c>
      <c r="I16" s="101">
        <v>0.2</v>
      </c>
      <c r="J16" s="96">
        <v>0.4</v>
      </c>
      <c r="K16" s="102">
        <v>0</v>
      </c>
      <c r="L16" s="103">
        <v>0.5</v>
      </c>
      <c r="M16" s="10">
        <v>6</v>
      </c>
      <c r="N16" s="10">
        <v>20</v>
      </c>
      <c r="O16" s="57">
        <f t="shared" si="0"/>
        <v>3.6999999999999997</v>
      </c>
    </row>
    <row r="17" spans="2:15" x14ac:dyDescent="0.45">
      <c r="B17" s="10" t="s">
        <v>27</v>
      </c>
      <c r="C17" s="95">
        <v>0.7</v>
      </c>
      <c r="D17" s="96">
        <v>0.3</v>
      </c>
      <c r="E17" s="97">
        <v>0</v>
      </c>
      <c r="F17" s="98">
        <v>0.6</v>
      </c>
      <c r="G17" s="99">
        <v>0.7</v>
      </c>
      <c r="H17" s="100">
        <v>0.4</v>
      </c>
      <c r="I17" s="101">
        <v>0.2</v>
      </c>
      <c r="J17" s="96">
        <v>0</v>
      </c>
      <c r="K17" s="102">
        <v>0</v>
      </c>
      <c r="L17" s="103">
        <v>0.7</v>
      </c>
      <c r="M17" s="10">
        <v>1</v>
      </c>
      <c r="N17" s="10">
        <v>20</v>
      </c>
      <c r="O17" s="57">
        <f t="shared" si="0"/>
        <v>3.5999999999999996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0683-2534-44EE-8675-9621481D3026}">
  <dimension ref="B2:M49"/>
  <sheetViews>
    <sheetView topLeftCell="A26" workbookViewId="0">
      <selection activeCell="C3" sqref="C3"/>
    </sheetView>
  </sheetViews>
  <sheetFormatPr defaultRowHeight="18" x14ac:dyDescent="0.45"/>
  <cols>
    <col min="2" max="2" width="22.69921875" customWidth="1"/>
    <col min="10" max="10" width="9" bestFit="1" customWidth="1"/>
    <col min="13" max="13" width="13.3984375" customWidth="1"/>
    <col min="15" max="15" width="14.8984375" customWidth="1"/>
  </cols>
  <sheetData>
    <row r="2" spans="2:13" x14ac:dyDescent="0.45">
      <c r="B2" s="56" t="s">
        <v>34</v>
      </c>
      <c r="C2" s="14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1" t="s">
        <v>13</v>
      </c>
    </row>
    <row r="3" spans="2:13" x14ac:dyDescent="0.45">
      <c r="B3" s="39" t="s">
        <v>35</v>
      </c>
      <c r="C3" s="157">
        <v>25</v>
      </c>
      <c r="D3" s="157">
        <v>6</v>
      </c>
      <c r="E3" s="157">
        <v>0</v>
      </c>
      <c r="F3" s="157">
        <v>10</v>
      </c>
      <c r="G3" s="157">
        <v>10</v>
      </c>
      <c r="H3" s="157">
        <v>5</v>
      </c>
      <c r="I3" s="157">
        <v>5</v>
      </c>
      <c r="J3" s="157">
        <v>0</v>
      </c>
      <c r="K3" s="157">
        <v>6</v>
      </c>
      <c r="L3" s="157">
        <v>8</v>
      </c>
      <c r="M3" s="145">
        <f>SUM(C3:L3)</f>
        <v>75</v>
      </c>
    </row>
    <row r="4" spans="2:13" x14ac:dyDescent="0.45">
      <c r="B4" s="15" t="s">
        <v>36</v>
      </c>
      <c r="C4" s="158">
        <v>0.5</v>
      </c>
      <c r="D4" s="158">
        <v>0.2</v>
      </c>
      <c r="E4" s="158">
        <v>0</v>
      </c>
      <c r="F4" s="158">
        <v>0.5</v>
      </c>
      <c r="G4" s="158">
        <v>0.2</v>
      </c>
      <c r="H4" s="158">
        <v>0.2</v>
      </c>
      <c r="I4" s="158">
        <v>0.1</v>
      </c>
      <c r="J4" s="158">
        <v>0.05</v>
      </c>
      <c r="K4" s="158">
        <v>0</v>
      </c>
      <c r="L4" s="158">
        <v>0.7</v>
      </c>
      <c r="M4" s="146">
        <f>SUM(C4:L4)</f>
        <v>2.4500000000000002</v>
      </c>
    </row>
    <row r="5" spans="2:13" x14ac:dyDescent="0.45">
      <c r="B5" s="15" t="s">
        <v>37</v>
      </c>
      <c r="C5" s="157">
        <v>38.5</v>
      </c>
      <c r="D5" s="157">
        <v>11.6</v>
      </c>
      <c r="E5" s="157">
        <v>0</v>
      </c>
      <c r="F5" s="157">
        <v>24.5</v>
      </c>
      <c r="G5" s="157">
        <v>16.600000000000001</v>
      </c>
      <c r="H5" s="157">
        <v>9.6</v>
      </c>
      <c r="I5" s="157">
        <v>8.3000000000000007</v>
      </c>
      <c r="J5" s="157">
        <v>4.1500000000000004</v>
      </c>
      <c r="K5" s="157">
        <v>7</v>
      </c>
      <c r="L5" s="157">
        <v>26.1</v>
      </c>
      <c r="M5" s="145">
        <f>SUM(C5:L5)</f>
        <v>146.35</v>
      </c>
    </row>
    <row r="8" spans="2:13" x14ac:dyDescent="0.45">
      <c r="B8" s="56" t="s">
        <v>38</v>
      </c>
      <c r="C8" s="144" t="s">
        <v>1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5" t="s">
        <v>7</v>
      </c>
      <c r="J8" s="15" t="s">
        <v>8</v>
      </c>
      <c r="K8" s="15" t="s">
        <v>9</v>
      </c>
      <c r="L8" s="15" t="s">
        <v>10</v>
      </c>
      <c r="M8" s="45" t="s">
        <v>13</v>
      </c>
    </row>
    <row r="9" spans="2:13" x14ac:dyDescent="0.45">
      <c r="B9" s="15" t="s">
        <v>35</v>
      </c>
      <c r="C9" s="154">
        <v>18</v>
      </c>
      <c r="D9" s="154">
        <v>0</v>
      </c>
      <c r="E9" s="154">
        <v>4</v>
      </c>
      <c r="F9" s="154">
        <v>7</v>
      </c>
      <c r="G9" s="154">
        <v>10</v>
      </c>
      <c r="H9" s="154">
        <v>8</v>
      </c>
      <c r="I9" s="154">
        <v>2</v>
      </c>
      <c r="J9" s="154">
        <v>6</v>
      </c>
      <c r="K9" s="154">
        <v>5</v>
      </c>
      <c r="L9" s="154">
        <v>7</v>
      </c>
      <c r="M9" s="147">
        <f>SUM(C9:L9)</f>
        <v>67</v>
      </c>
    </row>
    <row r="10" spans="2:13" x14ac:dyDescent="0.45">
      <c r="B10" s="15" t="s">
        <v>39</v>
      </c>
      <c r="C10" s="154">
        <v>0</v>
      </c>
      <c r="D10" s="154">
        <v>0</v>
      </c>
      <c r="E10" s="154">
        <v>2</v>
      </c>
      <c r="F10" s="154">
        <v>3</v>
      </c>
      <c r="G10" s="154">
        <v>5</v>
      </c>
      <c r="H10" s="154">
        <v>3</v>
      </c>
      <c r="I10" s="154">
        <v>1</v>
      </c>
      <c r="J10" s="154">
        <v>2</v>
      </c>
      <c r="K10" s="154">
        <v>1</v>
      </c>
      <c r="L10" s="154">
        <v>2</v>
      </c>
      <c r="M10" s="147">
        <f>SUM(C10:L10)</f>
        <v>19</v>
      </c>
    </row>
    <row r="11" spans="2:13" x14ac:dyDescent="0.45">
      <c r="B11" s="15" t="s">
        <v>36</v>
      </c>
      <c r="C11" s="155">
        <v>0.5</v>
      </c>
      <c r="D11" s="155">
        <v>0</v>
      </c>
      <c r="E11" s="155">
        <v>0.4</v>
      </c>
      <c r="F11" s="155">
        <v>0.7</v>
      </c>
      <c r="G11" s="155">
        <v>0.8</v>
      </c>
      <c r="H11" s="155">
        <v>0.7</v>
      </c>
      <c r="I11" s="155">
        <v>0.2</v>
      </c>
      <c r="J11" s="155">
        <v>0.3</v>
      </c>
      <c r="K11" s="155">
        <v>0</v>
      </c>
      <c r="L11" s="155">
        <v>0.7</v>
      </c>
      <c r="M11" s="148">
        <f>SUM(C11:L11)</f>
        <v>4.3000000000000007</v>
      </c>
    </row>
    <row r="12" spans="2:13" ht="18.75" customHeight="1" x14ac:dyDescent="0.45">
      <c r="B12" s="15" t="s">
        <v>40</v>
      </c>
      <c r="C12" s="155">
        <v>0.5</v>
      </c>
      <c r="D12" s="155">
        <v>0</v>
      </c>
      <c r="E12" s="155">
        <v>0.4</v>
      </c>
      <c r="F12" s="155">
        <v>0.7</v>
      </c>
      <c r="G12" s="155">
        <v>0.8</v>
      </c>
      <c r="H12" s="155">
        <v>0.7</v>
      </c>
      <c r="I12" s="155">
        <v>0.2</v>
      </c>
      <c r="J12" s="155">
        <v>0.3</v>
      </c>
      <c r="K12" s="155">
        <v>0</v>
      </c>
      <c r="L12" s="155">
        <v>0.7</v>
      </c>
      <c r="M12" s="148">
        <f t="shared" ref="M12" si="0">SUM(C12:L12)</f>
        <v>4.3000000000000007</v>
      </c>
    </row>
    <row r="13" spans="2:13" x14ac:dyDescent="0.45">
      <c r="B13" s="52" t="s">
        <v>37</v>
      </c>
      <c r="C13" s="154">
        <v>32</v>
      </c>
      <c r="D13" s="154">
        <v>0</v>
      </c>
      <c r="E13" s="154">
        <v>17.2</v>
      </c>
      <c r="F13" s="154">
        <v>29.6</v>
      </c>
      <c r="G13" s="154">
        <v>37.4</v>
      </c>
      <c r="H13" s="154">
        <v>30.6</v>
      </c>
      <c r="I13" s="154">
        <v>8.6</v>
      </c>
      <c r="J13" s="154">
        <v>16.399999999999999</v>
      </c>
      <c r="K13" s="154">
        <v>6</v>
      </c>
      <c r="L13" s="154">
        <v>28.6</v>
      </c>
      <c r="M13" s="147">
        <f>SUM(C13:L13)</f>
        <v>206.4</v>
      </c>
    </row>
    <row r="18" spans="2:13" x14ac:dyDescent="0.45">
      <c r="B18" s="10" t="s">
        <v>34</v>
      </c>
      <c r="C18" s="119" t="s">
        <v>1</v>
      </c>
      <c r="D18" s="23" t="s">
        <v>2</v>
      </c>
      <c r="E18" s="23" t="s">
        <v>3</v>
      </c>
      <c r="F18" s="23" t="s">
        <v>4</v>
      </c>
      <c r="G18" s="23" t="s">
        <v>5</v>
      </c>
      <c r="H18" s="23" t="s">
        <v>6</v>
      </c>
      <c r="I18" s="23" t="s">
        <v>7</v>
      </c>
      <c r="J18" s="23" t="s">
        <v>8</v>
      </c>
      <c r="K18" s="23" t="s">
        <v>9</v>
      </c>
      <c r="L18" s="23" t="s">
        <v>10</v>
      </c>
      <c r="M18" s="116" t="s">
        <v>13</v>
      </c>
    </row>
    <row r="19" spans="2:13" x14ac:dyDescent="0.45">
      <c r="B19" s="26" t="s">
        <v>35</v>
      </c>
      <c r="C19" s="110">
        <v>27</v>
      </c>
      <c r="D19" s="110">
        <v>4</v>
      </c>
      <c r="E19" s="110">
        <v>3</v>
      </c>
      <c r="F19" s="110">
        <v>8</v>
      </c>
      <c r="G19" s="110">
        <v>9</v>
      </c>
      <c r="H19" s="110">
        <v>5</v>
      </c>
      <c r="I19" s="110">
        <v>4</v>
      </c>
      <c r="J19" s="110">
        <v>3</v>
      </c>
      <c r="K19" s="110">
        <v>4</v>
      </c>
      <c r="L19" s="110">
        <v>7</v>
      </c>
      <c r="M19" s="113">
        <f t="shared" ref="M19:M24" si="1">SUM(C19:L19)</f>
        <v>74</v>
      </c>
    </row>
    <row r="20" spans="2:13" x14ac:dyDescent="0.45">
      <c r="B20" s="26" t="s">
        <v>41</v>
      </c>
      <c r="C20" s="110">
        <v>3</v>
      </c>
      <c r="D20" s="110">
        <v>0</v>
      </c>
      <c r="E20" s="110">
        <v>3</v>
      </c>
      <c r="F20" s="110">
        <v>1</v>
      </c>
      <c r="G20" s="110">
        <v>3</v>
      </c>
      <c r="H20" s="110">
        <v>1</v>
      </c>
      <c r="I20" s="110">
        <v>0</v>
      </c>
      <c r="J20" s="110">
        <v>3</v>
      </c>
      <c r="K20" s="110">
        <v>0</v>
      </c>
      <c r="L20" s="115">
        <v>0</v>
      </c>
      <c r="M20" s="113">
        <f t="shared" si="1"/>
        <v>14</v>
      </c>
    </row>
    <row r="21" spans="2:13" x14ac:dyDescent="0.45">
      <c r="B21" s="26" t="s">
        <v>42</v>
      </c>
      <c r="C21" s="110">
        <v>3</v>
      </c>
      <c r="D21" s="110">
        <v>3</v>
      </c>
      <c r="E21" s="110">
        <v>0</v>
      </c>
      <c r="F21" s="110">
        <v>3</v>
      </c>
      <c r="G21" s="110">
        <v>1</v>
      </c>
      <c r="H21" s="110">
        <v>1</v>
      </c>
      <c r="I21" s="110">
        <v>3</v>
      </c>
      <c r="J21" s="110">
        <v>0</v>
      </c>
      <c r="K21" s="110">
        <v>0</v>
      </c>
      <c r="L21" s="115">
        <v>0</v>
      </c>
      <c r="M21" s="113">
        <f t="shared" si="1"/>
        <v>14</v>
      </c>
    </row>
    <row r="22" spans="2:13" x14ac:dyDescent="0.45">
      <c r="B22" s="26" t="s">
        <v>36</v>
      </c>
      <c r="C22" s="120">
        <v>0.7</v>
      </c>
      <c r="D22" s="120">
        <v>0.2</v>
      </c>
      <c r="E22" s="120">
        <v>0.2</v>
      </c>
      <c r="F22" s="120">
        <v>0.4</v>
      </c>
      <c r="G22" s="120">
        <v>0.4</v>
      </c>
      <c r="H22" s="120">
        <v>0.5</v>
      </c>
      <c r="I22" s="120">
        <v>0.3</v>
      </c>
      <c r="J22" s="120">
        <v>0.3</v>
      </c>
      <c r="K22" s="120">
        <v>0</v>
      </c>
      <c r="L22" s="120">
        <v>0.5</v>
      </c>
      <c r="M22" s="114">
        <f t="shared" si="1"/>
        <v>3.4999999999999996</v>
      </c>
    </row>
    <row r="23" spans="2:13" x14ac:dyDescent="0.45">
      <c r="B23" s="117" t="s">
        <v>40</v>
      </c>
      <c r="C23" s="120">
        <v>0.7</v>
      </c>
      <c r="D23" s="120">
        <v>0.2</v>
      </c>
      <c r="E23" s="120">
        <v>0.2</v>
      </c>
      <c r="F23" s="120">
        <v>0.4</v>
      </c>
      <c r="G23" s="120">
        <v>0.4</v>
      </c>
      <c r="H23" s="120">
        <v>0.5</v>
      </c>
      <c r="I23" s="120">
        <v>0.3</v>
      </c>
      <c r="J23" s="120">
        <v>0.3</v>
      </c>
      <c r="K23" s="120">
        <v>0</v>
      </c>
      <c r="L23" s="120">
        <v>0.5</v>
      </c>
      <c r="M23" s="114">
        <f t="shared" si="1"/>
        <v>3.4999999999999996</v>
      </c>
    </row>
    <row r="24" spans="2:13" x14ac:dyDescent="0.45">
      <c r="B24" s="118" t="s">
        <v>37</v>
      </c>
      <c r="C24" s="110">
        <v>53.8</v>
      </c>
      <c r="D24" s="110">
        <v>16.2</v>
      </c>
      <c r="E24" s="110">
        <v>14.2</v>
      </c>
      <c r="F24" s="110">
        <v>31.4</v>
      </c>
      <c r="G24" s="110">
        <v>33.799999999999997</v>
      </c>
      <c r="H24" s="110">
        <v>23</v>
      </c>
      <c r="I24" s="110">
        <v>13.8</v>
      </c>
      <c r="J24" s="110">
        <v>9.8000000000000007</v>
      </c>
      <c r="K24" s="110">
        <v>4</v>
      </c>
      <c r="L24" s="115">
        <v>24</v>
      </c>
      <c r="M24" s="113">
        <f t="shared" si="1"/>
        <v>224</v>
      </c>
    </row>
    <row r="28" spans="2:13" x14ac:dyDescent="0.45">
      <c r="B28" s="56" t="s">
        <v>43</v>
      </c>
      <c r="C28" s="151" t="s">
        <v>1</v>
      </c>
      <c r="D28" s="152" t="s">
        <v>2</v>
      </c>
      <c r="E28" s="152" t="s">
        <v>3</v>
      </c>
      <c r="F28" s="152" t="s">
        <v>4</v>
      </c>
      <c r="G28" s="152" t="s">
        <v>5</v>
      </c>
      <c r="H28" s="152" t="s">
        <v>6</v>
      </c>
      <c r="I28" s="152" t="s">
        <v>7</v>
      </c>
      <c r="J28" s="152" t="s">
        <v>8</v>
      </c>
      <c r="K28" s="152" t="s">
        <v>9</v>
      </c>
      <c r="L28" s="152" t="s">
        <v>10</v>
      </c>
      <c r="M28" s="45" t="s">
        <v>13</v>
      </c>
    </row>
    <row r="29" spans="2:13" x14ac:dyDescent="0.45">
      <c r="B29" s="149" t="s">
        <v>35</v>
      </c>
      <c r="C29" s="154">
        <v>27</v>
      </c>
      <c r="D29" s="154">
        <v>4</v>
      </c>
      <c r="E29" s="154">
        <v>3</v>
      </c>
      <c r="F29" s="154">
        <v>8</v>
      </c>
      <c r="G29" s="154">
        <v>9</v>
      </c>
      <c r="H29" s="154">
        <v>5</v>
      </c>
      <c r="I29" s="154">
        <v>4</v>
      </c>
      <c r="J29" s="154">
        <v>3</v>
      </c>
      <c r="K29" s="154">
        <v>4</v>
      </c>
      <c r="L29" s="154">
        <v>7</v>
      </c>
      <c r="M29" s="147">
        <f t="shared" ref="M29:M36" si="2">SUM(C29:L29)</f>
        <v>74</v>
      </c>
    </row>
    <row r="30" spans="2:13" x14ac:dyDescent="0.45">
      <c r="B30" s="149" t="s">
        <v>41</v>
      </c>
      <c r="C30" s="154">
        <v>3</v>
      </c>
      <c r="D30" s="154">
        <v>3</v>
      </c>
      <c r="E30" s="154">
        <v>1</v>
      </c>
      <c r="F30" s="154">
        <v>3</v>
      </c>
      <c r="G30" s="154">
        <v>1</v>
      </c>
      <c r="H30" s="154">
        <v>1</v>
      </c>
      <c r="I30" s="154">
        <v>3</v>
      </c>
      <c r="J30" s="154">
        <v>0</v>
      </c>
      <c r="K30" s="154">
        <v>0</v>
      </c>
      <c r="L30" s="154">
        <v>2</v>
      </c>
      <c r="M30" s="147">
        <f t="shared" si="2"/>
        <v>17</v>
      </c>
    </row>
    <row r="31" spans="2:13" x14ac:dyDescent="0.45">
      <c r="B31" s="149" t="s">
        <v>42</v>
      </c>
      <c r="C31" s="154">
        <v>3</v>
      </c>
      <c r="D31" s="154">
        <v>1</v>
      </c>
      <c r="E31" s="154">
        <v>3</v>
      </c>
      <c r="F31" s="154">
        <v>1</v>
      </c>
      <c r="G31" s="154">
        <v>3</v>
      </c>
      <c r="H31" s="154">
        <v>1</v>
      </c>
      <c r="I31" s="154">
        <v>0</v>
      </c>
      <c r="J31" s="154">
        <v>3</v>
      </c>
      <c r="K31" s="154">
        <v>0</v>
      </c>
      <c r="L31" s="154">
        <v>2</v>
      </c>
      <c r="M31" s="147">
        <f t="shared" si="2"/>
        <v>17</v>
      </c>
    </row>
    <row r="32" spans="2:13" x14ac:dyDescent="0.45">
      <c r="B32" s="149" t="s">
        <v>36</v>
      </c>
      <c r="C32" s="155">
        <v>0.7</v>
      </c>
      <c r="D32" s="155">
        <v>0.3</v>
      </c>
      <c r="E32" s="155">
        <v>0.3</v>
      </c>
      <c r="F32" s="155">
        <v>0.4</v>
      </c>
      <c r="G32" s="155">
        <v>0.4</v>
      </c>
      <c r="H32" s="155">
        <v>0.5</v>
      </c>
      <c r="I32" s="155">
        <v>0.3</v>
      </c>
      <c r="J32" s="155">
        <v>0.3</v>
      </c>
      <c r="K32" s="155">
        <v>0</v>
      </c>
      <c r="L32" s="155">
        <v>0.5</v>
      </c>
      <c r="M32" s="148">
        <f t="shared" si="2"/>
        <v>3.6999999999999997</v>
      </c>
    </row>
    <row r="33" spans="2:13" ht="18.75" customHeight="1" x14ac:dyDescent="0.45">
      <c r="B33" s="149" t="s">
        <v>44</v>
      </c>
      <c r="C33" s="155">
        <v>0.7</v>
      </c>
      <c r="D33" s="155">
        <v>0.4</v>
      </c>
      <c r="E33" s="155">
        <v>0.2</v>
      </c>
      <c r="F33" s="155">
        <v>0.4</v>
      </c>
      <c r="G33" s="155">
        <v>0.4</v>
      </c>
      <c r="H33" s="155">
        <v>0.5</v>
      </c>
      <c r="I33" s="155">
        <v>0.4</v>
      </c>
      <c r="J33" s="155">
        <v>0.2</v>
      </c>
      <c r="K33" s="155">
        <v>0</v>
      </c>
      <c r="L33" s="155">
        <v>0.5</v>
      </c>
      <c r="M33" s="148">
        <f t="shared" si="2"/>
        <v>3.7</v>
      </c>
    </row>
    <row r="34" spans="2:13" ht="18.75" customHeight="1" x14ac:dyDescent="0.45">
      <c r="B34" s="149" t="s">
        <v>45</v>
      </c>
      <c r="C34" s="155">
        <v>0.7</v>
      </c>
      <c r="D34" s="155">
        <v>0.2</v>
      </c>
      <c r="E34" s="155">
        <v>0.4</v>
      </c>
      <c r="F34" s="155">
        <v>0.4</v>
      </c>
      <c r="G34" s="155">
        <v>0.4</v>
      </c>
      <c r="H34" s="155">
        <v>0.5</v>
      </c>
      <c r="I34" s="155">
        <v>0.2</v>
      </c>
      <c r="J34" s="155">
        <v>0.4</v>
      </c>
      <c r="K34" s="155">
        <v>0</v>
      </c>
      <c r="L34" s="155">
        <v>0.5</v>
      </c>
      <c r="M34" s="148">
        <f t="shared" si="2"/>
        <v>3.6999999999999997</v>
      </c>
    </row>
    <row r="35" spans="2:13" x14ac:dyDescent="0.45">
      <c r="B35" s="150" t="s">
        <v>46</v>
      </c>
      <c r="C35" s="156">
        <v>46.8</v>
      </c>
      <c r="D35" s="156">
        <v>15.7</v>
      </c>
      <c r="E35" s="156">
        <v>9.6999999999999993</v>
      </c>
      <c r="F35" s="156">
        <v>20.6</v>
      </c>
      <c r="G35" s="156">
        <v>19.600000000000001</v>
      </c>
      <c r="H35" s="156">
        <v>18</v>
      </c>
      <c r="I35" s="156">
        <v>15.7</v>
      </c>
      <c r="J35" s="156">
        <v>8.6999999999999993</v>
      </c>
      <c r="K35" s="156">
        <v>4</v>
      </c>
      <c r="L35" s="156">
        <v>21</v>
      </c>
      <c r="M35" s="147">
        <f t="shared" si="2"/>
        <v>179.79999999999998</v>
      </c>
    </row>
    <row r="36" spans="2:13" ht="19.5" customHeight="1" x14ac:dyDescent="0.45">
      <c r="B36" s="150" t="s">
        <v>47</v>
      </c>
      <c r="C36" s="154">
        <v>46.8</v>
      </c>
      <c r="D36" s="154">
        <v>10.7</v>
      </c>
      <c r="E36" s="154">
        <v>14.7</v>
      </c>
      <c r="F36" s="154">
        <v>18.600000000000001</v>
      </c>
      <c r="G36" s="154">
        <v>21.6</v>
      </c>
      <c r="H36" s="154">
        <v>18</v>
      </c>
      <c r="I36" s="154">
        <v>9.6999999999999993</v>
      </c>
      <c r="J36" s="154">
        <v>14.7</v>
      </c>
      <c r="K36" s="154">
        <v>4</v>
      </c>
      <c r="L36" s="154">
        <v>21</v>
      </c>
      <c r="M36" s="147">
        <f t="shared" si="2"/>
        <v>179.79999999999998</v>
      </c>
    </row>
    <row r="38" spans="2:13" x14ac:dyDescent="0.45">
      <c r="B38" s="10" t="s">
        <v>48</v>
      </c>
      <c r="C38" s="119" t="s">
        <v>1</v>
      </c>
      <c r="D38" s="23" t="s">
        <v>2</v>
      </c>
      <c r="E38" s="23" t="s">
        <v>3</v>
      </c>
      <c r="F38" s="23" t="s">
        <v>4</v>
      </c>
      <c r="G38" s="23" t="s">
        <v>5</v>
      </c>
      <c r="H38" s="23" t="s">
        <v>6</v>
      </c>
      <c r="I38" s="23" t="s">
        <v>7</v>
      </c>
      <c r="J38" s="23" t="s">
        <v>8</v>
      </c>
      <c r="K38" s="23" t="s">
        <v>9</v>
      </c>
      <c r="L38" s="23" t="s">
        <v>10</v>
      </c>
      <c r="M38" s="116" t="s">
        <v>13</v>
      </c>
    </row>
    <row r="39" spans="2:13" x14ac:dyDescent="0.45">
      <c r="B39" s="14" t="s">
        <v>35</v>
      </c>
      <c r="C39" s="110">
        <v>25</v>
      </c>
      <c r="D39" s="110">
        <v>6</v>
      </c>
      <c r="E39" s="110">
        <v>0</v>
      </c>
      <c r="F39" s="110">
        <v>10</v>
      </c>
      <c r="G39" s="110">
        <v>10</v>
      </c>
      <c r="H39" s="110">
        <v>5</v>
      </c>
      <c r="I39" s="110">
        <v>5</v>
      </c>
      <c r="J39" s="110">
        <v>0</v>
      </c>
      <c r="K39" s="110">
        <v>6</v>
      </c>
      <c r="L39" s="110">
        <v>8</v>
      </c>
      <c r="M39" s="113">
        <f>SUM(C39:L39)</f>
        <v>75</v>
      </c>
    </row>
    <row r="40" spans="2:13" x14ac:dyDescent="0.45">
      <c r="B40" s="14" t="s">
        <v>39</v>
      </c>
      <c r="C40" s="110">
        <v>0</v>
      </c>
      <c r="D40" s="110">
        <v>0</v>
      </c>
      <c r="E40" s="110">
        <v>0</v>
      </c>
      <c r="F40" s="110">
        <v>0</v>
      </c>
      <c r="G40" s="110">
        <v>0</v>
      </c>
      <c r="H40" s="110">
        <v>0</v>
      </c>
      <c r="I40" s="110">
        <v>0</v>
      </c>
      <c r="J40" s="110">
        <v>0</v>
      </c>
      <c r="K40" s="110">
        <v>0</v>
      </c>
      <c r="L40" s="110">
        <v>0</v>
      </c>
      <c r="M40" s="113">
        <f>SUM(C40:L40)</f>
        <v>0</v>
      </c>
    </row>
    <row r="41" spans="2:13" x14ac:dyDescent="0.45">
      <c r="B41" s="14" t="s">
        <v>36</v>
      </c>
      <c r="C41" s="120">
        <v>0.5</v>
      </c>
      <c r="D41" s="120">
        <v>0.2</v>
      </c>
      <c r="E41" s="120">
        <v>0</v>
      </c>
      <c r="F41" s="120">
        <v>0.7</v>
      </c>
      <c r="G41" s="120">
        <v>0.3</v>
      </c>
      <c r="H41" s="120">
        <v>0.3</v>
      </c>
      <c r="I41" s="120">
        <v>0.2</v>
      </c>
      <c r="J41" s="120">
        <v>0</v>
      </c>
      <c r="K41" s="120">
        <v>0</v>
      </c>
      <c r="L41" s="120">
        <v>0.7</v>
      </c>
      <c r="M41" s="114">
        <f>SUM(C41:L41)</f>
        <v>2.9000000000000004</v>
      </c>
    </row>
    <row r="42" spans="2:13" x14ac:dyDescent="0.45">
      <c r="B42" s="117" t="s">
        <v>40</v>
      </c>
      <c r="C42" s="120">
        <v>0.5</v>
      </c>
      <c r="D42" s="120">
        <v>0.2</v>
      </c>
      <c r="E42" s="120">
        <v>0</v>
      </c>
      <c r="F42" s="120">
        <v>0.7</v>
      </c>
      <c r="G42" s="120">
        <v>0.3</v>
      </c>
      <c r="H42" s="120">
        <v>0.3</v>
      </c>
      <c r="I42" s="120">
        <v>0.2</v>
      </c>
      <c r="J42" s="120">
        <v>0</v>
      </c>
      <c r="K42" s="120">
        <v>0</v>
      </c>
      <c r="L42" s="120">
        <v>0.7</v>
      </c>
      <c r="M42" s="114">
        <f>SUM(C42:L42)</f>
        <v>2.9000000000000004</v>
      </c>
    </row>
    <row r="43" spans="2:13" x14ac:dyDescent="0.45">
      <c r="B43" s="51" t="s">
        <v>37</v>
      </c>
      <c r="C43" s="108">
        <v>36.5</v>
      </c>
      <c r="D43" s="108">
        <v>10.6</v>
      </c>
      <c r="E43" s="108">
        <v>0</v>
      </c>
      <c r="F43" s="108">
        <v>26.1</v>
      </c>
      <c r="G43" s="108">
        <v>16.899999999999999</v>
      </c>
      <c r="H43" s="108">
        <v>11.9</v>
      </c>
      <c r="I43" s="108">
        <v>9.6</v>
      </c>
      <c r="J43" s="108">
        <v>0</v>
      </c>
      <c r="K43" s="108">
        <v>6</v>
      </c>
      <c r="L43" s="109">
        <v>24.1</v>
      </c>
      <c r="M43" s="113">
        <f>SUM(C43:L43)</f>
        <v>141.69999999999999</v>
      </c>
    </row>
    <row r="46" spans="2:13" x14ac:dyDescent="0.45">
      <c r="B46" s="10" t="s">
        <v>49</v>
      </c>
      <c r="C46" s="119" t="s">
        <v>1</v>
      </c>
      <c r="D46" s="23" t="s">
        <v>2</v>
      </c>
      <c r="E46" s="23" t="s">
        <v>3</v>
      </c>
      <c r="F46" s="23" t="s">
        <v>4</v>
      </c>
      <c r="G46" s="23" t="s">
        <v>5</v>
      </c>
      <c r="H46" s="23" t="s">
        <v>6</v>
      </c>
      <c r="I46" s="23" t="s">
        <v>7</v>
      </c>
      <c r="J46" s="23" t="s">
        <v>8</v>
      </c>
      <c r="K46" s="23" t="s">
        <v>9</v>
      </c>
      <c r="L46" s="23" t="s">
        <v>10</v>
      </c>
      <c r="M46" s="116" t="s">
        <v>13</v>
      </c>
    </row>
    <row r="47" spans="2:13" x14ac:dyDescent="0.45">
      <c r="B47" s="14" t="s">
        <v>35</v>
      </c>
      <c r="C47" s="108">
        <v>16</v>
      </c>
      <c r="D47" s="108">
        <v>4</v>
      </c>
      <c r="E47" s="108">
        <v>0</v>
      </c>
      <c r="F47" s="108">
        <v>4</v>
      </c>
      <c r="G47" s="108">
        <v>9</v>
      </c>
      <c r="H47" s="108">
        <v>6</v>
      </c>
      <c r="I47" s="108">
        <v>3</v>
      </c>
      <c r="J47" s="108">
        <v>0</v>
      </c>
      <c r="K47" s="108">
        <v>5</v>
      </c>
      <c r="L47" s="108">
        <v>6</v>
      </c>
      <c r="M47" s="113">
        <f>SUM(C47:L47)</f>
        <v>53</v>
      </c>
    </row>
    <row r="48" spans="2:13" x14ac:dyDescent="0.45">
      <c r="B48" s="14" t="s">
        <v>36</v>
      </c>
      <c r="C48" s="111">
        <v>0.6</v>
      </c>
      <c r="D48" s="111">
        <v>0.3</v>
      </c>
      <c r="E48" s="111">
        <v>0</v>
      </c>
      <c r="F48" s="111">
        <v>0.6</v>
      </c>
      <c r="G48" s="111">
        <v>0.9</v>
      </c>
      <c r="H48" s="111">
        <v>0.6</v>
      </c>
      <c r="I48" s="111">
        <v>0.1</v>
      </c>
      <c r="J48" s="112">
        <v>0.05</v>
      </c>
      <c r="K48" s="111">
        <v>0.05</v>
      </c>
      <c r="L48" s="111">
        <v>0.8</v>
      </c>
      <c r="M48" s="114">
        <f>SUM(C48:L48)</f>
        <v>4</v>
      </c>
    </row>
    <row r="49" spans="2:13" x14ac:dyDescent="0.45">
      <c r="B49" s="51" t="s">
        <v>37</v>
      </c>
      <c r="C49" s="108">
        <v>27.4</v>
      </c>
      <c r="D49" s="108">
        <v>9.6999999999999993</v>
      </c>
      <c r="E49" s="108">
        <v>0</v>
      </c>
      <c r="F49" s="108">
        <v>15.4</v>
      </c>
      <c r="G49" s="108">
        <v>26.1</v>
      </c>
      <c r="H49" s="108">
        <v>17.399999999999999</v>
      </c>
      <c r="I49" s="108">
        <v>4.9000000000000004</v>
      </c>
      <c r="J49" s="108">
        <v>0.95</v>
      </c>
      <c r="K49" s="108">
        <v>5.95</v>
      </c>
      <c r="L49" s="108">
        <v>21.2</v>
      </c>
      <c r="M49" s="113">
        <f>SUM(C49:L49)</f>
        <v>129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C483-B28C-4102-8C77-8DE7DAC30C4C}">
  <dimension ref="B1:O17"/>
  <sheetViews>
    <sheetView topLeftCell="B1" workbookViewId="0">
      <selection activeCell="K16" sqref="K16"/>
    </sheetView>
  </sheetViews>
  <sheetFormatPr defaultColWidth="9" defaultRowHeight="18" x14ac:dyDescent="0.45"/>
  <cols>
    <col min="1" max="1" width="5.19921875" style="1" customWidth="1"/>
    <col min="2" max="2" width="38.8984375" style="1" bestFit="1" customWidth="1"/>
    <col min="3" max="14" width="9" style="1"/>
    <col min="15" max="15" width="14" style="1" customWidth="1"/>
    <col min="16" max="16384" width="9" style="1"/>
  </cols>
  <sheetData>
    <row r="1" spans="2:15" s="3" customFormat="1" ht="33.75" customHeight="1" x14ac:dyDescent="0.45">
      <c r="B1" s="4" t="s">
        <v>50</v>
      </c>
    </row>
    <row r="3" spans="2:15" x14ac:dyDescent="0.45">
      <c r="B3" s="2"/>
      <c r="C3" s="11" t="s">
        <v>1</v>
      </c>
      <c r="D3" s="12" t="s">
        <v>2</v>
      </c>
      <c r="E3" s="13" t="s">
        <v>3</v>
      </c>
      <c r="F3" s="14" t="s">
        <v>4</v>
      </c>
      <c r="G3" s="15" t="s">
        <v>5</v>
      </c>
      <c r="H3" s="16" t="s">
        <v>6</v>
      </c>
      <c r="I3" s="17" t="s">
        <v>7</v>
      </c>
      <c r="J3" s="12" t="s">
        <v>8</v>
      </c>
      <c r="K3" s="19" t="s">
        <v>9</v>
      </c>
      <c r="L3" s="18" t="s">
        <v>10</v>
      </c>
      <c r="M3" s="2" t="s">
        <v>11</v>
      </c>
      <c r="N3" s="2" t="s">
        <v>12</v>
      </c>
      <c r="O3" s="2" t="s">
        <v>13</v>
      </c>
    </row>
    <row r="4" spans="2:15" x14ac:dyDescent="0.45">
      <c r="B4" s="2" t="s">
        <v>14</v>
      </c>
      <c r="C4" s="11">
        <v>0</v>
      </c>
      <c r="D4" s="12">
        <v>0</v>
      </c>
      <c r="E4" s="13">
        <v>0</v>
      </c>
      <c r="F4" s="14">
        <v>0</v>
      </c>
      <c r="G4" s="20">
        <v>0</v>
      </c>
      <c r="H4" s="21">
        <v>0</v>
      </c>
      <c r="I4" s="22">
        <v>0</v>
      </c>
      <c r="J4" s="23">
        <v>0</v>
      </c>
      <c r="K4" s="24">
        <v>0</v>
      </c>
      <c r="L4" s="25">
        <v>0</v>
      </c>
      <c r="M4" s="5">
        <v>6</v>
      </c>
      <c r="N4" s="2">
        <v>0</v>
      </c>
      <c r="O4" s="2">
        <f>SUM(C4:L4)</f>
        <v>0</v>
      </c>
    </row>
    <row r="5" spans="2:15" x14ac:dyDescent="0.45">
      <c r="B5" s="2" t="s">
        <v>15</v>
      </c>
      <c r="C5" s="11">
        <v>2</v>
      </c>
      <c r="D5" s="12">
        <v>2</v>
      </c>
      <c r="E5" s="13">
        <v>0</v>
      </c>
      <c r="F5" s="26">
        <v>2</v>
      </c>
      <c r="G5" s="27">
        <v>2</v>
      </c>
      <c r="H5" s="28">
        <v>2</v>
      </c>
      <c r="I5" s="29">
        <v>2</v>
      </c>
      <c r="J5" s="30">
        <v>2</v>
      </c>
      <c r="K5" s="31">
        <v>0</v>
      </c>
      <c r="L5" s="32">
        <v>2</v>
      </c>
      <c r="M5" s="6">
        <v>1</v>
      </c>
      <c r="N5" s="8">
        <v>20</v>
      </c>
      <c r="O5" s="2">
        <f t="shared" ref="O5:O15" si="0">SUM(C5:L5)</f>
        <v>16</v>
      </c>
    </row>
    <row r="6" spans="2:15" x14ac:dyDescent="0.45">
      <c r="B6" s="2" t="s">
        <v>16</v>
      </c>
      <c r="C6" s="11">
        <v>2</v>
      </c>
      <c r="D6" s="12">
        <v>2</v>
      </c>
      <c r="E6" s="13">
        <v>0</v>
      </c>
      <c r="F6" s="26">
        <v>2</v>
      </c>
      <c r="G6" s="33">
        <v>2</v>
      </c>
      <c r="H6" s="34">
        <v>1</v>
      </c>
      <c r="I6" s="35">
        <v>2</v>
      </c>
      <c r="J6" s="36">
        <v>2</v>
      </c>
      <c r="K6" s="37">
        <v>1</v>
      </c>
      <c r="L6" s="38">
        <v>2</v>
      </c>
      <c r="M6" s="7">
        <v>4</v>
      </c>
      <c r="N6" s="8">
        <v>20</v>
      </c>
      <c r="O6" s="2">
        <f t="shared" ref="O6" si="1">SUM(C6:L6)</f>
        <v>16</v>
      </c>
    </row>
    <row r="7" spans="2:15" x14ac:dyDescent="0.45">
      <c r="B7" s="10" t="s">
        <v>17</v>
      </c>
      <c r="C7" s="11">
        <v>2</v>
      </c>
      <c r="D7" s="12">
        <v>1</v>
      </c>
      <c r="E7" s="13">
        <v>0</v>
      </c>
      <c r="F7" s="26">
        <v>2</v>
      </c>
      <c r="G7" s="33">
        <v>0</v>
      </c>
      <c r="H7" s="34">
        <v>1</v>
      </c>
      <c r="I7" s="35">
        <v>3</v>
      </c>
      <c r="J7" s="36">
        <v>2</v>
      </c>
      <c r="K7" s="37">
        <v>1</v>
      </c>
      <c r="L7" s="38">
        <v>4</v>
      </c>
      <c r="M7" s="7">
        <v>4</v>
      </c>
      <c r="N7" s="8">
        <v>20</v>
      </c>
      <c r="O7" s="2">
        <f t="shared" si="0"/>
        <v>16</v>
      </c>
    </row>
    <row r="8" spans="2:15" x14ac:dyDescent="0.45">
      <c r="B8" s="2" t="s">
        <v>18</v>
      </c>
      <c r="C8" s="11">
        <v>7</v>
      </c>
      <c r="D8" s="12">
        <v>3</v>
      </c>
      <c r="E8" s="13">
        <v>0</v>
      </c>
      <c r="F8" s="14">
        <v>2</v>
      </c>
      <c r="G8" s="39">
        <v>2</v>
      </c>
      <c r="H8" s="40">
        <v>1</v>
      </c>
      <c r="I8" s="41">
        <v>1</v>
      </c>
      <c r="J8" s="42">
        <v>0</v>
      </c>
      <c r="K8" s="43">
        <v>0</v>
      </c>
      <c r="L8" s="44">
        <v>0</v>
      </c>
      <c r="M8" s="9">
        <v>3</v>
      </c>
      <c r="N8" s="2">
        <v>20</v>
      </c>
      <c r="O8" s="2">
        <f t="shared" si="0"/>
        <v>16</v>
      </c>
    </row>
    <row r="9" spans="2:15" x14ac:dyDescent="0.45">
      <c r="B9" s="2" t="s">
        <v>19</v>
      </c>
      <c r="C9" s="11">
        <v>0</v>
      </c>
      <c r="D9" s="12">
        <v>0</v>
      </c>
      <c r="E9" s="13">
        <v>0</v>
      </c>
      <c r="F9" s="14">
        <v>0</v>
      </c>
      <c r="G9" s="15">
        <v>0</v>
      </c>
      <c r="H9" s="16">
        <v>0</v>
      </c>
      <c r="I9" s="17">
        <v>0</v>
      </c>
      <c r="J9" s="12">
        <v>0</v>
      </c>
      <c r="K9" s="19">
        <v>0</v>
      </c>
      <c r="L9" s="18">
        <v>0</v>
      </c>
      <c r="M9" s="2">
        <v>1</v>
      </c>
      <c r="N9" s="2">
        <v>0</v>
      </c>
      <c r="O9" s="2">
        <f t="shared" si="0"/>
        <v>0</v>
      </c>
    </row>
    <row r="10" spans="2:15" x14ac:dyDescent="0.45">
      <c r="B10" s="2" t="s">
        <v>20</v>
      </c>
      <c r="C10" s="11">
        <v>2</v>
      </c>
      <c r="D10" s="12">
        <v>0</v>
      </c>
      <c r="E10" s="13">
        <v>3</v>
      </c>
      <c r="F10" s="14">
        <v>2</v>
      </c>
      <c r="G10" s="15">
        <v>0</v>
      </c>
      <c r="H10" s="16">
        <v>3</v>
      </c>
      <c r="I10" s="17">
        <v>1</v>
      </c>
      <c r="J10" s="12">
        <v>2</v>
      </c>
      <c r="K10" s="19">
        <v>0</v>
      </c>
      <c r="L10" s="18">
        <v>3</v>
      </c>
      <c r="M10" s="2">
        <v>1</v>
      </c>
      <c r="N10" s="2">
        <v>20</v>
      </c>
      <c r="O10" s="2">
        <f t="shared" ref="O10" si="2">SUM(C10:L10)</f>
        <v>16</v>
      </c>
    </row>
    <row r="11" spans="2:15" x14ac:dyDescent="0.45">
      <c r="B11" s="2" t="s">
        <v>21</v>
      </c>
      <c r="C11" s="11">
        <v>3</v>
      </c>
      <c r="D11" s="12">
        <v>0</v>
      </c>
      <c r="E11" s="13">
        <v>1</v>
      </c>
      <c r="F11" s="14">
        <v>2</v>
      </c>
      <c r="G11" s="15">
        <v>0</v>
      </c>
      <c r="H11" s="16">
        <v>0</v>
      </c>
      <c r="I11" s="17">
        <v>0</v>
      </c>
      <c r="J11" s="12">
        <v>5</v>
      </c>
      <c r="K11" s="19">
        <v>0</v>
      </c>
      <c r="L11" s="18">
        <v>5</v>
      </c>
      <c r="M11" s="2">
        <v>1</v>
      </c>
      <c r="N11" s="2">
        <v>20</v>
      </c>
      <c r="O11" s="2">
        <f t="shared" si="0"/>
        <v>16</v>
      </c>
    </row>
    <row r="12" spans="2:15" x14ac:dyDescent="0.45">
      <c r="B12" s="5" t="s">
        <v>22</v>
      </c>
      <c r="C12" s="45">
        <v>2</v>
      </c>
      <c r="D12" s="23">
        <v>2</v>
      </c>
      <c r="E12" s="46">
        <v>0</v>
      </c>
      <c r="F12" s="47">
        <v>2</v>
      </c>
      <c r="G12" s="20">
        <v>0</v>
      </c>
      <c r="H12" s="21">
        <v>2</v>
      </c>
      <c r="I12" s="22">
        <v>3</v>
      </c>
      <c r="J12" s="23">
        <v>3</v>
      </c>
      <c r="K12" s="24">
        <v>0</v>
      </c>
      <c r="L12" s="25">
        <v>2</v>
      </c>
      <c r="M12" s="5">
        <v>4</v>
      </c>
      <c r="N12" s="5">
        <v>20</v>
      </c>
      <c r="O12" s="2">
        <f t="shared" si="0"/>
        <v>16</v>
      </c>
    </row>
    <row r="13" spans="2:15" x14ac:dyDescent="0.45">
      <c r="B13" s="10" t="s">
        <v>23</v>
      </c>
      <c r="C13" s="48">
        <v>1</v>
      </c>
      <c r="D13" s="49">
        <v>0</v>
      </c>
      <c r="E13" s="50">
        <v>2</v>
      </c>
      <c r="F13" s="51">
        <v>3</v>
      </c>
      <c r="G13" s="52">
        <v>3</v>
      </c>
      <c r="H13" s="53">
        <v>3</v>
      </c>
      <c r="I13" s="54">
        <v>1</v>
      </c>
      <c r="J13" s="49">
        <v>2</v>
      </c>
      <c r="K13" s="55">
        <v>1</v>
      </c>
      <c r="L13" s="56">
        <v>0</v>
      </c>
      <c r="M13" s="10">
        <v>2</v>
      </c>
      <c r="N13" s="10">
        <v>20</v>
      </c>
      <c r="O13" s="2">
        <f t="shared" si="0"/>
        <v>16</v>
      </c>
    </row>
    <row r="14" spans="2:15" x14ac:dyDescent="0.45">
      <c r="B14" s="10" t="s">
        <v>24</v>
      </c>
      <c r="C14" s="48">
        <v>2</v>
      </c>
      <c r="D14" s="49">
        <v>1</v>
      </c>
      <c r="E14" s="50">
        <v>0</v>
      </c>
      <c r="F14" s="51">
        <v>5</v>
      </c>
      <c r="G14" s="52">
        <v>2</v>
      </c>
      <c r="H14" s="53">
        <v>0</v>
      </c>
      <c r="I14" s="54">
        <v>1</v>
      </c>
      <c r="J14" s="49">
        <v>2</v>
      </c>
      <c r="K14" s="55">
        <v>1</v>
      </c>
      <c r="L14" s="56">
        <v>2</v>
      </c>
      <c r="M14" s="10">
        <v>7</v>
      </c>
      <c r="N14" s="10">
        <v>0</v>
      </c>
      <c r="O14" s="2">
        <f t="shared" si="0"/>
        <v>16</v>
      </c>
    </row>
    <row r="15" spans="2:15" x14ac:dyDescent="0.45">
      <c r="B15" s="10" t="s">
        <v>25</v>
      </c>
      <c r="C15" s="48">
        <v>3</v>
      </c>
      <c r="D15" s="49">
        <v>3</v>
      </c>
      <c r="E15" s="50">
        <v>1</v>
      </c>
      <c r="F15" s="51">
        <v>1</v>
      </c>
      <c r="G15" s="52">
        <v>2</v>
      </c>
      <c r="H15" s="53">
        <v>1</v>
      </c>
      <c r="I15" s="54">
        <v>3</v>
      </c>
      <c r="J15" s="49">
        <v>0</v>
      </c>
      <c r="K15" s="55">
        <v>0</v>
      </c>
      <c r="L15" s="56">
        <v>2</v>
      </c>
      <c r="M15" s="10">
        <v>6</v>
      </c>
      <c r="N15" s="10">
        <v>20</v>
      </c>
      <c r="O15" s="2">
        <f t="shared" si="0"/>
        <v>16</v>
      </c>
    </row>
    <row r="16" spans="2:15" x14ac:dyDescent="0.45">
      <c r="B16" s="10" t="s">
        <v>26</v>
      </c>
      <c r="C16" s="48">
        <v>3</v>
      </c>
      <c r="D16" s="49">
        <v>1</v>
      </c>
      <c r="E16" s="50">
        <v>3</v>
      </c>
      <c r="F16" s="51">
        <v>2</v>
      </c>
      <c r="G16" s="52">
        <v>1</v>
      </c>
      <c r="H16" s="53">
        <v>1</v>
      </c>
      <c r="I16" s="54">
        <v>0</v>
      </c>
      <c r="J16" s="49">
        <v>3</v>
      </c>
      <c r="K16" s="55">
        <v>0</v>
      </c>
      <c r="L16" s="56">
        <v>2</v>
      </c>
      <c r="M16" s="10">
        <v>6</v>
      </c>
      <c r="N16" s="10">
        <v>20</v>
      </c>
      <c r="O16" s="2">
        <f t="shared" ref="O16" si="3">SUM(C16:L16)</f>
        <v>16</v>
      </c>
    </row>
    <row r="17" spans="2:15" x14ac:dyDescent="0.45">
      <c r="B17" s="10" t="s">
        <v>27</v>
      </c>
      <c r="C17" s="48">
        <v>0</v>
      </c>
      <c r="D17" s="49">
        <v>0</v>
      </c>
      <c r="E17" s="50">
        <v>0</v>
      </c>
      <c r="F17" s="51">
        <v>0</v>
      </c>
      <c r="G17" s="52">
        <v>0</v>
      </c>
      <c r="H17" s="53">
        <v>0</v>
      </c>
      <c r="I17" s="54">
        <v>0</v>
      </c>
      <c r="J17" s="49">
        <v>0</v>
      </c>
      <c r="K17" s="55">
        <v>0</v>
      </c>
      <c r="L17" s="56">
        <v>0</v>
      </c>
      <c r="M17" s="10">
        <v>1</v>
      </c>
      <c r="N17" s="10">
        <v>0</v>
      </c>
      <c r="O17" s="2">
        <f t="shared" ref="O17" si="4">SUM(C17:L17)</f>
        <v>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57FE-46D9-42D8-9733-4F387C2B5C58}">
  <sheetPr>
    <pageSetUpPr fitToPage="1"/>
  </sheetPr>
  <dimension ref="B1:O33"/>
  <sheetViews>
    <sheetView zoomScale="78" zoomScaleNormal="78" workbookViewId="0">
      <selection activeCell="B17" sqref="B17"/>
    </sheetView>
  </sheetViews>
  <sheetFormatPr defaultColWidth="9" defaultRowHeight="18" x14ac:dyDescent="0.45"/>
  <cols>
    <col min="1" max="1" width="5.19921875" style="1" customWidth="1"/>
    <col min="2" max="2" width="34.8984375" style="1" bestFit="1" customWidth="1"/>
    <col min="3" max="14" width="9" style="1"/>
    <col min="15" max="15" width="13.19921875" style="1" customWidth="1"/>
    <col min="16" max="16384" width="9" style="1"/>
  </cols>
  <sheetData>
    <row r="1" spans="2:15" s="3" customFormat="1" ht="33.75" customHeight="1" x14ac:dyDescent="0.45">
      <c r="B1" s="4" t="s">
        <v>51</v>
      </c>
    </row>
    <row r="3" spans="2:15" x14ac:dyDescent="0.45">
      <c r="B3" s="2"/>
      <c r="C3" s="11" t="s">
        <v>1</v>
      </c>
      <c r="D3" s="12" t="s">
        <v>2</v>
      </c>
      <c r="E3" s="13" t="s">
        <v>3</v>
      </c>
      <c r="F3" s="14" t="s">
        <v>4</v>
      </c>
      <c r="G3" s="15" t="s">
        <v>5</v>
      </c>
      <c r="H3" s="16" t="s">
        <v>6</v>
      </c>
      <c r="I3" s="17" t="s">
        <v>7</v>
      </c>
      <c r="J3" s="12" t="s">
        <v>8</v>
      </c>
      <c r="K3" s="19" t="s">
        <v>52</v>
      </c>
      <c r="L3" s="104" t="s">
        <v>10</v>
      </c>
      <c r="M3" s="2" t="s">
        <v>11</v>
      </c>
      <c r="N3" s="2" t="s">
        <v>12</v>
      </c>
      <c r="O3" s="2" t="s">
        <v>53</v>
      </c>
    </row>
    <row r="4" spans="2:15" x14ac:dyDescent="0.45">
      <c r="B4" s="2" t="s">
        <v>14</v>
      </c>
      <c r="C4" s="11">
        <f>能力!C4 + (成長率!C4 * (15 - 能力!$M4)) + 転生後能力!C4 + (転生後成長率!C4 * 15)</f>
        <v>47.2</v>
      </c>
      <c r="D4" s="12">
        <f>能力!D4 + (成長率!D4 * (15 - 能力!$M4)) + 転生後能力!D4 + (転生後成長率!D4 * 15)</f>
        <v>17.100000000000001</v>
      </c>
      <c r="E4" s="13">
        <f>能力!E4 + (成長率!E4 * (15 - 能力!$M4)) + 転生後能力!E4 + (転生後成長率!E4 * 15)</f>
        <v>0.45</v>
      </c>
      <c r="F4" s="14">
        <f>能力!F4 + (成長率!F4 * (15 - 能力!$M4)) + 転生後能力!F4 + (転生後成長率!F4 * 15)</f>
        <v>16.2</v>
      </c>
      <c r="G4" s="15">
        <f>能力!G4 + (成長率!G4 * (15 - 能力!$M4)) + 転生後能力!G4 + (転生後成長率!G4 * 15)</f>
        <v>14.2</v>
      </c>
      <c r="H4" s="16">
        <f>能力!H4 + (成長率!H4 * (15 - 能力!$M4)) + 転生後能力!H4 + (転生後成長率!H4 * 15)</f>
        <v>7.8</v>
      </c>
      <c r="I4" s="17">
        <f>能力!I4 + (成長率!I4 * (15 - 能力!$M4)) + 転生後能力!I4 + (転生後成長率!I4 * 15)</f>
        <v>16.100000000000001</v>
      </c>
      <c r="J4" s="12">
        <f>能力!J4 + (成長率!J4 * (15 - 能力!$M4)) + 転生後能力!J4 + (転生後成長率!J4 * 15)</f>
        <v>1.2</v>
      </c>
      <c r="K4" s="19">
        <f>能力!K4 + (成長率!K4 * (15 - 能力!$M4)) + 転生後能力!K4 + (転生後成長率!K4 * 15)</f>
        <v>5</v>
      </c>
      <c r="L4" s="124">
        <f>能力!L4 + (成長率!L4 * (15 - 能力!$M4)) + 転生後能力!L4 + (転生後成長率!L4 * 15)</f>
        <v>21.6</v>
      </c>
      <c r="M4" s="5">
        <v>6</v>
      </c>
      <c r="N4" s="2">
        <v>0</v>
      </c>
      <c r="O4" s="125">
        <f>SUM(C4:L4)</f>
        <v>146.85000000000002</v>
      </c>
    </row>
    <row r="5" spans="2:15" x14ac:dyDescent="0.45">
      <c r="B5" s="2" t="s">
        <v>15</v>
      </c>
      <c r="C5" s="11">
        <f>能力!C5 + (成長率!C5 * (15 - 能力!$M5)) + 転生後能力!C5 + (転生後成長率!C5 * 15)</f>
        <v>44.2</v>
      </c>
      <c r="D5" s="12">
        <f>能力!D5 + (成長率!D5 * (15 - 能力!$M5)) + 転生後能力!D5 + (転生後成長率!D5 * 15)</f>
        <v>21.9</v>
      </c>
      <c r="E5" s="13">
        <f>能力!E5 + (成長率!E5 * (15 - 能力!$M5)) + 転生後能力!E5 + (転生後成長率!E5 * 15)</f>
        <v>1.4000000000000001</v>
      </c>
      <c r="F5" s="14">
        <f>能力!F5 + (成長率!F5 * (15 - 能力!$M5)) + 転生後能力!F5 + (転生後成長率!F5 * 15)</f>
        <v>29.200000000000003</v>
      </c>
      <c r="G5" s="15">
        <f>能力!G5 + (成長率!G5 * (15 - 能力!$M5)) + 転生後能力!G5 + (転生後成長率!G5 * 15)</f>
        <v>30.200000000000003</v>
      </c>
      <c r="H5" s="16">
        <f>能力!H5 + (成長率!H5 * (15 - 能力!$M5)) + 転生後能力!H5 + (転生後成長率!H5 * 15)</f>
        <v>31.200000000000003</v>
      </c>
      <c r="I5" s="17">
        <f>能力!I5 + (成長率!I5 * (15 - 能力!$M5)) + 転生後能力!I5 + (転生後成長率!I5 * 15)</f>
        <v>12.7</v>
      </c>
      <c r="J5" s="12">
        <f>能力!J5 + (成長率!J5 * (15 - 能力!$M5)) + 転生後能力!J5 + (転生後成長率!J5 * 15)</f>
        <v>5.8500000000000005</v>
      </c>
      <c r="K5" s="19">
        <f>能力!K5 + (成長率!K5 * (15 - 能力!$M5)) + 転生後能力!K5 + (転生後成長率!K5 * 15)</f>
        <v>5</v>
      </c>
      <c r="L5" s="124">
        <f>能力!L5 + (成長率!L5 * (15 - 能力!$M5)) + 転生後能力!L5 + (転生後成長率!L5 * 15)</f>
        <v>25.799999999999997</v>
      </c>
      <c r="M5" s="6">
        <v>1</v>
      </c>
      <c r="N5" s="8">
        <v>20</v>
      </c>
      <c r="O5" s="125">
        <f t="shared" ref="O5:O12" si="0">SUM(C5:L5)</f>
        <v>207.45</v>
      </c>
    </row>
    <row r="6" spans="2:15" x14ac:dyDescent="0.45">
      <c r="B6" s="2" t="s">
        <v>16</v>
      </c>
      <c r="C6" s="11">
        <f>能力!C6 + (成長率!C6 * (15 - 能力!$M6)) + 転生後能力!C6 + (転生後成長率!C6 * 15)</f>
        <v>45.2</v>
      </c>
      <c r="D6" s="12">
        <f>能力!D6 + (成長率!D6 * (15 - 能力!$M6)) + 転生後能力!D6 + (転生後成長率!D6 * 15)</f>
        <v>19.399999999999999</v>
      </c>
      <c r="E6" s="13">
        <f>能力!E6 + (成長率!E6 * (15 - 能力!$M6)) + 転生後能力!E6 + (転生後成長率!E6 * 15)</f>
        <v>3.6</v>
      </c>
      <c r="F6" s="14">
        <f>能力!F6 + (成長率!F6 * (15 - 能力!$M6)) + 転生後能力!F6 + (転生後成長率!F6 * 15)</f>
        <v>20</v>
      </c>
      <c r="G6" s="15">
        <f>能力!G6 + (成長率!G6 * (15 - 能力!$M6)) + 転生後能力!G6 + (転生後成長率!G6 * 15)</f>
        <v>20</v>
      </c>
      <c r="H6" s="16">
        <f>能力!H6 + (成長率!H6 * (15 - 能力!$M6)) + 転生後能力!H6 + (転生後成長率!H6 * 15)</f>
        <v>16.399999999999999</v>
      </c>
      <c r="I6" s="17">
        <f>能力!I6 + (成長率!I6 * (15 - 能力!$M6)) + 転生後能力!I6 + (転生後成長率!I6 * 15)</f>
        <v>13.2</v>
      </c>
      <c r="J6" s="12">
        <f>能力!J6 + (成長率!J6 * (15 - 能力!$M6)) + 転生後能力!J6 + (転生後成長率!J6 * 15)</f>
        <v>6.6</v>
      </c>
      <c r="K6" s="19">
        <f>能力!K6 + (成長率!K6 * (15 - 能力!$M6)) + 転生後能力!K6 + (転生後成長率!K6 * 15)</f>
        <v>8</v>
      </c>
      <c r="L6" s="124">
        <f>能力!L6 + (成長率!L6 * (15 - 能力!$M6)) + 転生後能力!L6 + (転生後成長率!L6 * 15)</f>
        <v>19.399999999999999</v>
      </c>
      <c r="M6" s="7">
        <v>4</v>
      </c>
      <c r="N6" s="8">
        <v>20</v>
      </c>
      <c r="O6" s="125">
        <f t="shared" ref="O6" si="1">SUM(C6:L6)</f>
        <v>171.79999999999998</v>
      </c>
    </row>
    <row r="7" spans="2:15" x14ac:dyDescent="0.45">
      <c r="B7" s="10" t="s">
        <v>17</v>
      </c>
      <c r="C7" s="11">
        <f>能力!C7 + (成長率!C7 * (15 - 能力!$M7)) + 転生後能力!C7 + (転生後成長率!C7 * 15)</f>
        <v>45.2</v>
      </c>
      <c r="D7" s="12">
        <f>能力!D7 + (成長率!D7 * (15 - 能力!$M7)) + 転生後能力!D7 + (転生後成長率!D7 * 15)</f>
        <v>18.399999999999999</v>
      </c>
      <c r="E7" s="13">
        <f>能力!E7 + (成長率!E7 * (15 - 能力!$M7)) + 転生後能力!E7 + (転生後成長率!E7 * 15)</f>
        <v>3.6</v>
      </c>
      <c r="F7" s="14">
        <f>能力!F7 + (成長率!F7 * (15 - 能力!$M7)) + 転生後能力!F7 + (転生後成長率!F7 * 15)</f>
        <v>20</v>
      </c>
      <c r="G7" s="15">
        <f>能力!G7 + (成長率!G7 * (15 - 能力!$M7)) + 転生後能力!G7 + (転生後成長率!G7 * 15)</f>
        <v>18</v>
      </c>
      <c r="H7" s="16">
        <f>能力!H7 + (成長率!H7 * (15 - 能力!$M7)) + 転生後能力!H7 + (転生後成長率!H7 * 15)</f>
        <v>16.399999999999999</v>
      </c>
      <c r="I7" s="17">
        <f>能力!I7 + (成長率!I7 * (15 - 能力!$M7)) + 転生後能力!I7 + (転生後成長率!I7 * 15)</f>
        <v>14.2</v>
      </c>
      <c r="J7" s="12">
        <f>能力!J7 + (成長率!J7 * (15 - 能力!$M7)) + 転生後能力!J7 + (転生後成長率!J7 * 15)</f>
        <v>6.6</v>
      </c>
      <c r="K7" s="19">
        <f>能力!K7 + (成長率!K7 * (15 - 能力!$M7)) + 転生後能力!K7 + (転生後成長率!K7 * 15)</f>
        <v>8</v>
      </c>
      <c r="L7" s="124">
        <f>能力!L7 + (成長率!L7 * (15 - 能力!$M7)) + 転生後能力!L7 + (転生後成長率!L7 * 15)</f>
        <v>21.4</v>
      </c>
      <c r="M7" s="7">
        <v>4</v>
      </c>
      <c r="N7" s="8">
        <v>20</v>
      </c>
      <c r="O7" s="125">
        <f t="shared" si="0"/>
        <v>171.79999999999998</v>
      </c>
    </row>
    <row r="8" spans="2:15" x14ac:dyDescent="0.45">
      <c r="B8" s="2" t="s">
        <v>18</v>
      </c>
      <c r="C8" s="11">
        <f>能力!C8 + (成長率!C8 * (15 - 能力!$M8)) + 転生後能力!C8 + (転生後成長率!C8 * 15)</f>
        <v>59.3</v>
      </c>
      <c r="D8" s="12">
        <f>能力!D8 + (成長率!D8 * (15 - 能力!$M8)) + 転生後能力!D8 + (転生後成長率!D8 * 15)</f>
        <v>23.5</v>
      </c>
      <c r="E8" s="13">
        <f>能力!E8 + (成長率!E8 * (15 - 能力!$M8)) + 転生後能力!E8 + (転生後成長率!E8 * 15)</f>
        <v>0.60000000000000009</v>
      </c>
      <c r="F8" s="14">
        <f>能力!F8 + (成長率!F8 * (15 - 能力!$M8)) + 転生後能力!F8 + (転生後成長率!F8 * 15)</f>
        <v>19.5</v>
      </c>
      <c r="G8" s="15">
        <f>能力!G8 + (成長率!G8 * (15 - 能力!$M8)) + 転生後能力!G8 + (転生後成長率!G8 * 15)</f>
        <v>18.8</v>
      </c>
      <c r="H8" s="16">
        <f>能力!H8 + (成長率!H8 * (15 - 能力!$M8)) + 転生後能力!H8 + (転生後成長率!H8 * 15)</f>
        <v>15.8</v>
      </c>
      <c r="I8" s="17">
        <f>能力!I8 + (成長率!I8 * (15 - 能力!$M8)) + 転生後能力!I8 + (転生後成長率!I8 * 15)</f>
        <v>14.1</v>
      </c>
      <c r="J8" s="12">
        <f>能力!J8 + (成長率!J8 * (15 - 能力!$M8)) + 転生後能力!J8 + (転生後成長率!J8 * 15)</f>
        <v>0.60000000000000009</v>
      </c>
      <c r="K8" s="19">
        <f>能力!K8 + (成長率!K8 * (15 - 能力!$M8)) + 転生後能力!K8 + (転生後成長率!K8 * 15)</f>
        <v>5</v>
      </c>
      <c r="L8" s="124">
        <f>能力!L8 + (成長率!L8 * (15 - 能力!$M8)) + 転生後能力!L8 + (転生後成長率!L8 * 15)</f>
        <v>20</v>
      </c>
      <c r="M8" s="9">
        <v>3</v>
      </c>
      <c r="N8" s="2">
        <v>20</v>
      </c>
      <c r="O8" s="125">
        <f t="shared" si="0"/>
        <v>177.2</v>
      </c>
    </row>
    <row r="9" spans="2:15" x14ac:dyDescent="0.45">
      <c r="B9" s="2" t="s">
        <v>19</v>
      </c>
      <c r="C9" s="11">
        <f>能力!C9 + (成長率!C9 * (15 - 能力!$M9)) + 転生後能力!C9 + (転生後成長率!C9 * 15)</f>
        <v>33.4</v>
      </c>
      <c r="D9" s="12">
        <f>能力!D9 + (成長率!D9 * (15 - 能力!$M9)) + 転生後能力!D9 + (転生後成長率!D9 * 15)</f>
        <v>9.8000000000000007</v>
      </c>
      <c r="E9" s="13">
        <f>能力!E9 + (成長率!E9 * (15 - 能力!$M9)) + 転生後能力!E9 + (転生後成長率!E9 * 15)</f>
        <v>0.70000000000000007</v>
      </c>
      <c r="F9" s="14">
        <f>能力!F9 + (成長率!F9 * (15 - 能力!$M9)) + 転生後能力!F9 + (転生後成長率!F9 * 15)</f>
        <v>15.600000000000001</v>
      </c>
      <c r="G9" s="15">
        <f>能力!G9 + (成長率!G9 * (15 - 能力!$M9)) + 転生後能力!G9 + (転生後成長率!G9 * 15)</f>
        <v>35.1</v>
      </c>
      <c r="H9" s="16">
        <f>能力!H9 + (成長率!H9 * (15 - 能力!$M9)) + 転生後能力!H9 + (転生後成長率!H9 * 15)</f>
        <v>23.4</v>
      </c>
      <c r="I9" s="17">
        <f>能力!I9 + (成長率!I9 * (15 - 能力!$M9)) + 転生後能力!I9 + (転生後成長率!I9 * 15)</f>
        <v>5.9</v>
      </c>
      <c r="J9" s="12">
        <f>能力!J9 + (成長率!J9 * (15 - 能力!$M9)) + 転生後能力!J9 + (転生後成長率!J9 * 15)</f>
        <v>2.1500000000000004</v>
      </c>
      <c r="K9" s="19">
        <f>能力!K9 + (成長率!K9 * (15 - 能力!$M9)) + 転生後能力!K9 + (転生後成長率!K9 * 15)</f>
        <v>7.45</v>
      </c>
      <c r="L9" s="124">
        <f>能力!L9 + (成長率!L9 * (15 - 能力!$M9)) + 転生後能力!L9 + (転生後成長率!L9 * 15)</f>
        <v>22</v>
      </c>
      <c r="M9" s="2">
        <v>1</v>
      </c>
      <c r="N9" s="2">
        <v>0</v>
      </c>
      <c r="O9" s="125">
        <f t="shared" si="0"/>
        <v>155.5</v>
      </c>
    </row>
    <row r="10" spans="2:15" x14ac:dyDescent="0.45">
      <c r="B10" s="2" t="s">
        <v>20</v>
      </c>
      <c r="C10" s="11">
        <f>能力!C10 + (成長率!C10 * (15 - 能力!$M10)) + 転生後能力!C10 + (転生後成長率!C10 * 15)</f>
        <v>37.4</v>
      </c>
      <c r="D10" s="12">
        <f>能力!D10 + (成長率!D10 * (15 - 能力!$M10)) + 転生後能力!D10 + (転生後成長率!D10 * 15)</f>
        <v>0</v>
      </c>
      <c r="E10" s="13">
        <f>能力!E10 + (成長率!E10 * (15 - 能力!$M10)) + 転生後能力!E10 + (転生後成長率!E10 * 15)</f>
        <v>10.8</v>
      </c>
      <c r="F10" s="14">
        <f>能力!F10 + (成長率!F10 * (15 - 能力!$M10)) + 転生後能力!F10 + (転生後成長率!F10 * 15)</f>
        <v>16.600000000000001</v>
      </c>
      <c r="G10" s="15">
        <f>能力!G10 + (成長率!G10 * (15 - 能力!$M10)) + 転生後能力!G10 + (転生後成長率!G10 * 15)</f>
        <v>15.600000000000001</v>
      </c>
      <c r="H10" s="16">
        <f>能力!H10 + (成長率!H10 * (15 - 能力!$M10)) + 転生後能力!H10 + (転生後成長率!H10 * 15)</f>
        <v>31.299999999999997</v>
      </c>
      <c r="I10" s="17">
        <f>能力!I10 + (成長率!I10 * (15 - 能力!$M10)) + 転生後能力!I10 + (転生後成長率!I10 * 15)</f>
        <v>4.9000000000000004</v>
      </c>
      <c r="J10" s="12">
        <f>能力!J10 + (成長率!J10 * (15 - 能力!$M10)) + 転生後能力!J10 + (転生後成長率!J10 * 15)</f>
        <v>17.100000000000001</v>
      </c>
      <c r="K10" s="19">
        <f>能力!K10 + (成長率!K10 * (15 - 能力!$M10)) + 転生後能力!K10 + (転生後成長率!K10 * 15)</f>
        <v>5</v>
      </c>
      <c r="L10" s="124">
        <f>能力!L10 + (成長率!L10 * (15 - 能力!$M10)) + 転生後能力!L10 + (転生後成長率!L10 * 15)</f>
        <v>29.799999999999997</v>
      </c>
      <c r="M10" s="2">
        <v>1</v>
      </c>
      <c r="N10" s="2">
        <v>20</v>
      </c>
      <c r="O10" s="125">
        <f t="shared" ref="O10" si="2">SUM(C10:L10)</f>
        <v>168.5</v>
      </c>
    </row>
    <row r="11" spans="2:15" x14ac:dyDescent="0.45">
      <c r="B11" s="2" t="s">
        <v>21</v>
      </c>
      <c r="C11" s="11">
        <f>能力!C11 + (成長率!C11 * (15 - 能力!$M11)) + 転生後能力!C11 + (転生後成長率!C11 * 15)</f>
        <v>38.4</v>
      </c>
      <c r="D11" s="12">
        <f>能力!D11 + (成長率!D11 * (15 - 能力!$M11)) + 転生後能力!D11 + (転生後成長率!D11 * 15)</f>
        <v>0</v>
      </c>
      <c r="E11" s="13">
        <f>能力!E11 + (成長率!E11 * (15 - 能力!$M11)) + 転生後能力!E11 + (転生後成長率!E11 * 15)</f>
        <v>8.8000000000000007</v>
      </c>
      <c r="F11" s="14">
        <f>能力!F11 + (成長率!F11 * (15 - 能力!$M11)) + 転生後能力!F11 + (転生後成長率!F11 * 15)</f>
        <v>16.600000000000001</v>
      </c>
      <c r="G11" s="15">
        <f>能力!G11 + (成長率!G11 * (15 - 能力!$M11)) + 転生後能力!G11 + (転生後成長率!G11 * 15)</f>
        <v>15.600000000000001</v>
      </c>
      <c r="H11" s="16">
        <f>能力!H11 + (成長率!H11 * (15 - 能力!$M11)) + 転生後能力!H11 + (転生後成長率!H11 * 15)</f>
        <v>28.299999999999997</v>
      </c>
      <c r="I11" s="17">
        <f>能力!I11 + (成長率!I11 * (15 - 能力!$M11)) + 転生後能力!I11 + (転生後成長率!I11 * 15)</f>
        <v>3.9000000000000004</v>
      </c>
      <c r="J11" s="12">
        <f>能力!J11 + (成長率!J11 * (15 - 能力!$M11)) + 転生後能力!J11 + (転生後成長率!J11 * 15)</f>
        <v>20.100000000000001</v>
      </c>
      <c r="K11" s="19">
        <f>能力!K11 + (成長率!K11 * (15 - 能力!$M11)) + 転生後能力!K11 + (転生後成長率!K11 * 15)</f>
        <v>5</v>
      </c>
      <c r="L11" s="124">
        <f>能力!L11 + (成長率!L11 * (15 - 能力!$M11)) + 転生後能力!L11 + (転生後成長率!L11 * 15)</f>
        <v>31.799999999999997</v>
      </c>
      <c r="M11" s="2">
        <v>1</v>
      </c>
      <c r="N11" s="2">
        <v>20</v>
      </c>
      <c r="O11" s="125">
        <f t="shared" si="0"/>
        <v>168.5</v>
      </c>
    </row>
    <row r="12" spans="2:15" x14ac:dyDescent="0.45">
      <c r="B12" s="5" t="s">
        <v>22</v>
      </c>
      <c r="C12" s="11">
        <f>能力!C12 + (成長率!C12 * (15 - 能力!$M12)) + 転生後能力!C12 + (転生後成長率!C12 * 15)</f>
        <v>42.6</v>
      </c>
      <c r="D12" s="12">
        <f>能力!D12 + (成長率!D12 * (15 - 能力!$M12)) + 転生後能力!D12 + (転生後成長率!D12 * 15)</f>
        <v>22</v>
      </c>
      <c r="E12" s="13">
        <f>能力!E12 + (成長率!E12 * (15 - 能力!$M12)) + 転生後能力!E12 + (転生後成長率!E12 * 15)</f>
        <v>0.55000000000000004</v>
      </c>
      <c r="F12" s="14">
        <f>能力!F12 + (成長率!F12 * (15 - 能力!$M12)) + 転生後能力!F12 + (転生後成長率!F12 * 15)</f>
        <v>28.2</v>
      </c>
      <c r="G12" s="15">
        <f>能力!G12 + (成長率!G12 * (15 - 能力!$M12)) + 転生後能力!G12 + (転生後成長率!G12 * 15)</f>
        <v>16.399999999999999</v>
      </c>
      <c r="H12" s="16">
        <f>能力!H12 + (成長率!H12 * (15 - 能力!$M12)) + 転生後能力!H12 + (転生後成長率!H12 * 15)</f>
        <v>16.399999999999999</v>
      </c>
      <c r="I12" s="17">
        <f>能力!I12 + (成長率!I12 * (15 - 能力!$M12)) + 転生後能力!I12 + (転生後成長率!I12 * 15)</f>
        <v>20.399999999999999</v>
      </c>
      <c r="J12" s="12">
        <f>能力!J12 + (成長率!J12 * (15 - 能力!$M12)) + 転生後能力!J12 + (転生後成長率!J12 * 15)</f>
        <v>4.8499999999999996</v>
      </c>
      <c r="K12" s="19">
        <f>能力!K12 + (成長率!K12 * (15 - 能力!$M12)) + 転生後能力!K12 + (転生後成長率!K12 * 15)</f>
        <v>5</v>
      </c>
      <c r="L12" s="124">
        <f>能力!L12 + (成長率!L12 * (15 - 能力!$M12)) + 転生後能力!L12 + (転生後成長率!L12 * 15)</f>
        <v>29.8</v>
      </c>
      <c r="M12" s="5">
        <v>4</v>
      </c>
      <c r="N12" s="5">
        <v>20</v>
      </c>
      <c r="O12" s="126">
        <f t="shared" si="0"/>
        <v>186.20000000000002</v>
      </c>
    </row>
    <row r="13" spans="2:15" x14ac:dyDescent="0.45">
      <c r="B13" s="10" t="s">
        <v>23</v>
      </c>
      <c r="C13" s="11">
        <f>能力!C13 + (成長率!C13 * (15 - 能力!$M13)) + 転生後能力!C13 + (転生後成長率!C13 * 15)</f>
        <v>33</v>
      </c>
      <c r="D13" s="12">
        <f>能力!D13 + (成長率!D13 * (15 - 能力!$M13)) + 転生後能力!D13 + (転生後成長率!D13 * 15)</f>
        <v>0</v>
      </c>
      <c r="E13" s="13">
        <f>能力!E13 + (成長率!E13 * (15 - 能力!$M13)) + 転生後能力!E13 + (転生後成長率!E13 * 15)</f>
        <v>17.2</v>
      </c>
      <c r="F13" s="14">
        <f>能力!F13 + (成長率!F13 * (15 - 能力!$M13)) + 転生後能力!F13 + (転生後成長率!F13 * 15)</f>
        <v>29.6</v>
      </c>
      <c r="G13" s="15">
        <f>能力!G13 + (成長率!G13 * (15 - 能力!$M13)) + 転生後能力!G13 + (転生後成長率!G13 * 15)</f>
        <v>35.4</v>
      </c>
      <c r="H13" s="16">
        <f>能力!H13 + (成長率!H13 * (15 - 能力!$M13)) + 転生後能力!H13 + (転生後成長率!H13 * 15)</f>
        <v>30.6</v>
      </c>
      <c r="I13" s="17">
        <f>能力!I13 + (成長率!I13 * (15 - 能力!$M13)) + 転生後能力!I13 + (転生後成長率!I13 * 15)</f>
        <v>8.6</v>
      </c>
      <c r="J13" s="12">
        <f>能力!J13 + (成長率!J13 * (15 - 能力!$M13)) + 転生後能力!J13 + (転生後成長率!J13 * 15)</f>
        <v>16.7</v>
      </c>
      <c r="K13" s="19">
        <f>能力!K13 + (成長率!K13 * (15 - 能力!$M13)) + 転生後能力!K13 + (転生後成長率!K13 * 15)</f>
        <v>8</v>
      </c>
      <c r="L13" s="124">
        <f>能力!L13 + (成長率!L13 * (15 - 能力!$M13)) + 転生後能力!L13 + (転生後成長率!L13 * 15)</f>
        <v>26.6</v>
      </c>
      <c r="M13" s="10">
        <v>2</v>
      </c>
      <c r="N13" s="10">
        <v>20</v>
      </c>
      <c r="O13" s="127">
        <f>SUM(C13:N13)</f>
        <v>227.7</v>
      </c>
    </row>
    <row r="14" spans="2:15" x14ac:dyDescent="0.45">
      <c r="B14" s="10" t="s">
        <v>24</v>
      </c>
      <c r="C14" s="11">
        <f>能力!C14 + (成長率!C14 * (15 - 能力!$M14)) + 転生後能力!C14 + (転生後成長率!C14 * 15)</f>
        <v>38.5</v>
      </c>
      <c r="D14" s="12">
        <f>能力!D14 + (成長率!D14 * (15 - 能力!$M14)) + 転生後能力!D14 + (転生後成長率!D14 * 15)</f>
        <v>11.6</v>
      </c>
      <c r="E14" s="13">
        <f>能力!E14 + (成長率!E14 * (15 - 能力!$M14)) + 転生後能力!E14 + (転生後成長率!E14 * 15)</f>
        <v>0.4</v>
      </c>
      <c r="F14" s="14">
        <f>能力!F14 + (成長率!F14 * (15 - 能力!$M14)) + 転生後能力!F14 + (転生後成長率!F14 * 15)</f>
        <v>26.5</v>
      </c>
      <c r="G14" s="15">
        <f>能力!G14 + (成長率!G14 * (15 - 能力!$M14)) + 転生後能力!G14 + (転生後成長率!G14 * 15)</f>
        <v>16.600000000000001</v>
      </c>
      <c r="H14" s="16">
        <f>能力!H14 + (成長率!H14 * (15 - 能力!$M14)) + 転生後能力!H14 + (転生後成長率!H14 * 15)</f>
        <v>9.6</v>
      </c>
      <c r="I14" s="17">
        <f>能力!I14 + (成長率!I14 * (15 - 能力!$M14)) + 転生後能力!I14 + (転生後成長率!I14 * 15)</f>
        <v>8.3000000000000007</v>
      </c>
      <c r="J14" s="12">
        <f>能力!J14 + (成長率!J14 * (15 - 能力!$M14)) + 転生後能力!J14 + (転生後成長率!J14 * 15)</f>
        <v>3.15</v>
      </c>
      <c r="K14" s="19">
        <f>能力!K14 + (成長率!K14 * (15 - 能力!$M14)) + 転生後能力!K14 + (転生後成長率!K14 * 15)</f>
        <v>8</v>
      </c>
      <c r="L14" s="124">
        <f>能力!L14 + (成長率!L14 * (15 - 能力!$M14)) + 転生後能力!L14 + (転生後成長率!L14 * 15)</f>
        <v>26.1</v>
      </c>
      <c r="M14" s="10">
        <v>7</v>
      </c>
      <c r="N14" s="10">
        <v>0</v>
      </c>
      <c r="O14" s="127">
        <f>SUM(C14:N14)</f>
        <v>155.75</v>
      </c>
    </row>
    <row r="15" spans="2:15" x14ac:dyDescent="0.45">
      <c r="B15" s="10" t="s">
        <v>25</v>
      </c>
      <c r="C15" s="11">
        <f>能力!C15 + (成長率!C15 * (15 - 能力!$M15)) + 転生後能力!C15 + (転生後成長率!C15 * 15)</f>
        <v>46.8</v>
      </c>
      <c r="D15" s="12">
        <f>能力!D15 + (成長率!D15 * (15 - 能力!$M15)) + 転生後能力!D15 + (転生後成長率!D15 * 15)</f>
        <v>15.8</v>
      </c>
      <c r="E15" s="13">
        <f>能力!E15 + (成長率!E15 * (15 - 能力!$M15)) + 転生後能力!E15 + (転生後成長率!E15 * 15)</f>
        <v>8.8000000000000007</v>
      </c>
      <c r="F15" s="14">
        <f>能力!F15 + (成長率!F15 * (15 - 能力!$M15)) + 転生後能力!F15 + (転生後成長率!F15 * 15)</f>
        <v>18.600000000000001</v>
      </c>
      <c r="G15" s="15">
        <f>能力!G15 + (成長率!G15 * (15 - 能力!$M15)) + 転生後能力!G15 + (転生後成長率!G15 * 15)</f>
        <v>20.6</v>
      </c>
      <c r="H15" s="16">
        <f>能力!H15 + (成長率!H15 * (15 - 能力!$M15)) + 転生後能力!H15 + (転生後成長率!H15 * 15)</f>
        <v>18</v>
      </c>
      <c r="I15" s="17">
        <f>能力!I15 + (成長率!I15 * (15 - 能力!$M15)) + 転生後能力!I15 + (転生後成長率!I15 * 15)</f>
        <v>14.8</v>
      </c>
      <c r="J15" s="12">
        <f>能力!J15 + (成長率!J15 * (15 - 能力!$M15)) + 転生後能力!J15 + (転生後成長率!J15 * 15)</f>
        <v>7.8</v>
      </c>
      <c r="K15" s="19">
        <f>能力!K15 + (成長率!K15 * (15 - 能力!$M15)) + 転生後能力!K15 + (転生後成長率!K15 * 15)</f>
        <v>5</v>
      </c>
      <c r="L15" s="124">
        <f>能力!L15 + (成長率!L15 * (15 - 能力!$M15)) + 転生後能力!L15 + (転生後成長率!L15 * 15)</f>
        <v>23.7</v>
      </c>
      <c r="M15" s="10">
        <v>6</v>
      </c>
      <c r="N15" s="10">
        <v>20</v>
      </c>
      <c r="O15" s="127">
        <f>SUM(C15:N15)</f>
        <v>205.9</v>
      </c>
    </row>
    <row r="16" spans="2:15" x14ac:dyDescent="0.45">
      <c r="B16" s="10" t="s">
        <v>26</v>
      </c>
      <c r="C16" s="11">
        <f>能力!C16 + (成長率!C16 * (15 - 能力!$M16)) + 転生後能力!C16 + (転生後成長率!C16 * 15)</f>
        <v>46.8</v>
      </c>
      <c r="D16" s="12">
        <f>能力!D16 + (成長率!D16 * (15 - 能力!$M16)) + 転生後能力!D16 + (転生後成長率!D16 * 15)</f>
        <v>10.8</v>
      </c>
      <c r="E16" s="13">
        <f>能力!E16 + (成長率!E16 * (15 - 能力!$M16)) + 転生後能力!E16 + (転生後成長率!E16 * 15)</f>
        <v>13.8</v>
      </c>
      <c r="F16" s="14">
        <f>能力!F16 + (成長率!F16 * (15 - 能力!$M16)) + 転生後能力!F16 + (転生後成長率!F16 * 15)</f>
        <v>19.600000000000001</v>
      </c>
      <c r="G16" s="15">
        <f>能力!G16 + (成長率!G16 * (15 - 能力!$M16)) + 転生後能力!G16 + (転生後成長率!G16 * 15)</f>
        <v>19.600000000000001</v>
      </c>
      <c r="H16" s="16">
        <f>能力!H16 + (成長率!H16 * (15 - 能力!$M16)) + 転生後能力!H16 + (転生後成長率!H16 * 15)</f>
        <v>18</v>
      </c>
      <c r="I16" s="17">
        <f>能力!I16 + (成長率!I16 * (15 - 能力!$M16)) + 転生後能力!I16 + (転生後成長率!I16 * 15)</f>
        <v>8.8000000000000007</v>
      </c>
      <c r="J16" s="12">
        <f>能力!J16 + (成長率!J16 * (15 - 能力!$M16)) + 転生後能力!J16 + (転生後成長率!J16 * 15)</f>
        <v>13.8</v>
      </c>
      <c r="K16" s="19">
        <f>能力!K16 + (成長率!K16 * (15 - 能力!$M16)) + 転生後能力!K16 + (転生後成長率!K16 * 15)</f>
        <v>5</v>
      </c>
      <c r="L16" s="124">
        <f>能力!L16 + (成長率!L16 * (15 - 能力!$M16)) + 転生後能力!L16 + (転生後成長率!L16 * 15)</f>
        <v>23.7</v>
      </c>
      <c r="M16" s="10">
        <v>6</v>
      </c>
      <c r="N16" s="10">
        <v>20</v>
      </c>
      <c r="O16" s="127">
        <f>SUM(C16:N16)</f>
        <v>205.9</v>
      </c>
    </row>
    <row r="17" spans="2:15" x14ac:dyDescent="0.45">
      <c r="B17" s="10" t="s">
        <v>27</v>
      </c>
      <c r="C17" s="11">
        <f>能力!C17 + (成長率!C17 * (15 - 能力!$M17)) + 転生後能力!C17 + (転生後成長率!C17 * 15)</f>
        <v>44.3</v>
      </c>
      <c r="D17" s="12">
        <f>能力!D17 + (成長率!D17 * (15 - 能力!$M17)) + 転生後能力!D17 + (転生後成長率!D17 * 15)</f>
        <v>14.7</v>
      </c>
      <c r="E17" s="13">
        <f>能力!E17 + (成長率!E17 * (15 - 能力!$M17)) + 転生後能力!E17 + (転生後成長率!E17 * 15)</f>
        <v>0</v>
      </c>
      <c r="F17" s="14">
        <f>能力!F17 + (成長率!F17 * (15 - 能力!$M17)) + 転生後能力!F17 + (転生後成長率!F17 * 15)</f>
        <v>31.200000000000003</v>
      </c>
      <c r="G17" s="15">
        <f>能力!G17 + (成長率!G17 * (15 - 能力!$M17)) + 転生後能力!G17 + (転生後成長率!G17 * 15)</f>
        <v>35.700000000000003</v>
      </c>
      <c r="H17" s="16">
        <f>能力!H17 + (成長率!H17 * (15 - 能力!$M17)) + 転生後能力!H17 + (転生後成長率!H17 * 15)</f>
        <v>16.600000000000001</v>
      </c>
      <c r="I17" s="17">
        <f>能力!I17 + (成長率!I17 * (15 - 能力!$M17)) + 転生後能力!I17 + (転生後成長率!I17 * 15)</f>
        <v>9.8000000000000007</v>
      </c>
      <c r="J17" s="12">
        <f>能力!J17 + (成長率!J17 * (15 - 能力!$M17)) + 転生後能力!J17 + (転生後成長率!J17 * 15)</f>
        <v>1.4000000000000001</v>
      </c>
      <c r="K17" s="19">
        <f>能力!K17 + (成長率!K17 * (15 - 能力!$M17)) + 転生後能力!K17 + (転生後成長率!K17 * 15)</f>
        <v>6</v>
      </c>
      <c r="L17" s="124">
        <f>能力!L17 + (成長率!L17 * (15 - 能力!$M17)) + 転生後能力!L17 + (転生後成長率!L17 * 15)</f>
        <v>25.9</v>
      </c>
      <c r="M17" s="10">
        <v>6</v>
      </c>
      <c r="N17" s="10">
        <v>20</v>
      </c>
      <c r="O17" s="127">
        <f>SUM(C17:N17)</f>
        <v>211.60000000000002</v>
      </c>
    </row>
    <row r="21" spans="2:15" x14ac:dyDescent="0.45">
      <c r="B21" s="2" t="s">
        <v>14</v>
      </c>
      <c r="C21" s="10">
        <v>47.2</v>
      </c>
      <c r="D21" s="10">
        <v>16.2</v>
      </c>
      <c r="E21" s="10">
        <v>0</v>
      </c>
      <c r="F21" s="10">
        <v>16.2</v>
      </c>
      <c r="G21" s="10">
        <v>14.2</v>
      </c>
      <c r="H21" s="10">
        <v>7.8</v>
      </c>
      <c r="I21" s="10">
        <v>15.2</v>
      </c>
      <c r="J21" s="10">
        <v>1.2</v>
      </c>
      <c r="K21" s="10">
        <v>4</v>
      </c>
      <c r="L21" s="10">
        <v>23.4</v>
      </c>
    </row>
    <row r="22" spans="2:15" x14ac:dyDescent="0.45">
      <c r="B22" s="2" t="s">
        <v>15</v>
      </c>
      <c r="C22" s="10">
        <v>45.6</v>
      </c>
      <c r="D22" s="10">
        <v>17.7</v>
      </c>
      <c r="E22" s="10">
        <v>0</v>
      </c>
      <c r="F22" s="10">
        <v>26.4</v>
      </c>
      <c r="G22" s="10">
        <v>27.4</v>
      </c>
      <c r="H22" s="10">
        <v>31.2</v>
      </c>
      <c r="I22" s="10">
        <v>11.3</v>
      </c>
      <c r="J22" s="10">
        <v>4.03</v>
      </c>
      <c r="K22" s="10">
        <v>5</v>
      </c>
      <c r="L22" s="10">
        <v>24.4</v>
      </c>
    </row>
    <row r="23" spans="2:15" x14ac:dyDescent="0.45">
      <c r="B23" s="2" t="s">
        <v>16</v>
      </c>
      <c r="C23" s="10">
        <v>45.2</v>
      </c>
      <c r="D23" s="10">
        <v>19.399999999999999</v>
      </c>
      <c r="E23" s="10">
        <v>3.6</v>
      </c>
      <c r="F23" s="10">
        <v>20</v>
      </c>
      <c r="G23" s="10">
        <v>20</v>
      </c>
      <c r="H23" s="10">
        <v>16.399999999999999</v>
      </c>
      <c r="I23" s="10">
        <v>11.2</v>
      </c>
      <c r="J23" s="10">
        <v>7.6</v>
      </c>
      <c r="K23" s="10">
        <v>7</v>
      </c>
      <c r="L23" s="10">
        <v>20.399999999999999</v>
      </c>
    </row>
    <row r="24" spans="2:15" x14ac:dyDescent="0.45">
      <c r="B24" s="10" t="s">
        <v>17</v>
      </c>
      <c r="C24" s="10">
        <v>46.2</v>
      </c>
      <c r="D24" s="10">
        <v>17.399999999999999</v>
      </c>
      <c r="E24" s="10">
        <v>3.6</v>
      </c>
      <c r="F24" s="10">
        <v>21</v>
      </c>
      <c r="G24" s="10">
        <v>20</v>
      </c>
      <c r="H24" s="10">
        <v>16.399999999999999</v>
      </c>
      <c r="I24" s="10">
        <v>14.2</v>
      </c>
      <c r="J24" s="10">
        <v>7.6</v>
      </c>
      <c r="K24" s="10">
        <v>7</v>
      </c>
      <c r="L24" s="10">
        <v>22.4</v>
      </c>
    </row>
    <row r="25" spans="2:15" x14ac:dyDescent="0.45">
      <c r="B25" s="2" t="s">
        <v>18</v>
      </c>
      <c r="C25" s="10">
        <v>59.3</v>
      </c>
      <c r="D25" s="10">
        <v>22.5</v>
      </c>
      <c r="E25" s="10">
        <v>0</v>
      </c>
      <c r="F25" s="10">
        <v>20.5</v>
      </c>
      <c r="G25" s="10">
        <v>18.8</v>
      </c>
      <c r="H25" s="10">
        <v>14.8</v>
      </c>
      <c r="I25" s="10">
        <v>13.1</v>
      </c>
      <c r="J25" s="10">
        <v>0</v>
      </c>
      <c r="K25" s="10">
        <v>4</v>
      </c>
      <c r="L25" s="10">
        <v>21.2</v>
      </c>
    </row>
    <row r="26" spans="2:15" x14ac:dyDescent="0.45">
      <c r="B26" s="2" t="s">
        <v>19</v>
      </c>
      <c r="C26" s="10">
        <v>33.4</v>
      </c>
      <c r="D26" s="10">
        <v>9.8000000000000007</v>
      </c>
      <c r="E26" s="10">
        <v>0</v>
      </c>
      <c r="F26" s="10">
        <v>15.6</v>
      </c>
      <c r="G26" s="10">
        <v>35.1</v>
      </c>
      <c r="H26" s="10">
        <v>23.4</v>
      </c>
      <c r="I26" s="10">
        <v>5.9</v>
      </c>
      <c r="J26" s="10">
        <v>1.45</v>
      </c>
      <c r="K26" s="10">
        <v>6.45</v>
      </c>
      <c r="L26" s="10">
        <v>23.4</v>
      </c>
    </row>
    <row r="27" spans="2:15" x14ac:dyDescent="0.45">
      <c r="B27" s="2" t="s">
        <v>20</v>
      </c>
      <c r="C27" s="10">
        <v>37.4</v>
      </c>
      <c r="D27" s="10">
        <v>0</v>
      </c>
      <c r="E27" s="10">
        <v>10.8</v>
      </c>
      <c r="F27" s="10">
        <v>16.600000000000001</v>
      </c>
      <c r="G27" s="10">
        <v>17.600000000000001</v>
      </c>
      <c r="H27" s="10">
        <v>28.3</v>
      </c>
      <c r="I27" s="10">
        <v>4.9000000000000004</v>
      </c>
      <c r="J27" s="10">
        <v>15.7</v>
      </c>
      <c r="K27" s="10">
        <v>4</v>
      </c>
      <c r="L27" s="10">
        <v>31.2</v>
      </c>
    </row>
    <row r="28" spans="2:15" x14ac:dyDescent="0.45">
      <c r="B28" s="2" t="s">
        <v>21</v>
      </c>
      <c r="C28" s="10">
        <v>37.4</v>
      </c>
      <c r="D28" s="10">
        <v>0</v>
      </c>
      <c r="E28" s="10">
        <v>8.8000000000000007</v>
      </c>
      <c r="F28" s="10">
        <v>16.600000000000001</v>
      </c>
      <c r="G28" s="10">
        <v>15.6</v>
      </c>
      <c r="H28" s="10">
        <v>28.3</v>
      </c>
      <c r="I28" s="10">
        <v>3.9</v>
      </c>
      <c r="J28" s="10">
        <v>18.7</v>
      </c>
      <c r="K28" s="10">
        <v>4</v>
      </c>
      <c r="L28" s="10">
        <v>33.200000000000003</v>
      </c>
    </row>
    <row r="29" spans="2:15" x14ac:dyDescent="0.45">
      <c r="B29" s="5" t="s">
        <v>22</v>
      </c>
      <c r="C29" s="10">
        <v>42.6</v>
      </c>
      <c r="D29" s="10">
        <v>22</v>
      </c>
      <c r="E29" s="10">
        <v>0</v>
      </c>
      <c r="F29" s="10">
        <v>28.2</v>
      </c>
      <c r="G29" s="10">
        <v>16.399999999999999</v>
      </c>
      <c r="H29" s="10">
        <v>14.4</v>
      </c>
      <c r="I29" s="10">
        <v>20.399999999999999</v>
      </c>
      <c r="J29" s="10">
        <v>4.3</v>
      </c>
      <c r="K29" s="10">
        <v>4</v>
      </c>
      <c r="L29" s="10">
        <v>30.8</v>
      </c>
    </row>
    <row r="30" spans="2:15" x14ac:dyDescent="0.45">
      <c r="B30" s="10" t="s">
        <v>23</v>
      </c>
      <c r="C30" s="10">
        <v>32</v>
      </c>
      <c r="D30" s="10">
        <v>0</v>
      </c>
      <c r="E30" s="10">
        <v>17.2</v>
      </c>
      <c r="F30" s="10">
        <v>29.6</v>
      </c>
      <c r="G30" s="10">
        <v>37.4</v>
      </c>
      <c r="H30" s="10">
        <v>30.6</v>
      </c>
      <c r="I30" s="10">
        <v>8.6</v>
      </c>
      <c r="J30" s="10">
        <v>16.399999999999999</v>
      </c>
      <c r="K30" s="10">
        <v>6</v>
      </c>
      <c r="L30" s="10">
        <v>28.6</v>
      </c>
    </row>
    <row r="31" spans="2:15" x14ac:dyDescent="0.45">
      <c r="B31" s="10" t="s">
        <v>24</v>
      </c>
      <c r="C31" s="10">
        <v>38.5</v>
      </c>
      <c r="D31" s="10">
        <v>11.6</v>
      </c>
      <c r="E31" s="10">
        <v>0</v>
      </c>
      <c r="F31" s="10">
        <v>24.5</v>
      </c>
      <c r="G31" s="10">
        <v>16.600000000000001</v>
      </c>
      <c r="H31" s="10">
        <v>9.6</v>
      </c>
      <c r="I31" s="10">
        <v>8.3000000000000007</v>
      </c>
      <c r="J31" s="10">
        <v>4.1500000000000004</v>
      </c>
      <c r="K31" s="10">
        <v>7</v>
      </c>
      <c r="L31" s="10">
        <v>26.1</v>
      </c>
    </row>
    <row r="32" spans="2:15" x14ac:dyDescent="0.45">
      <c r="B32" s="10" t="s">
        <v>25</v>
      </c>
      <c r="C32" s="153">
        <v>46.8</v>
      </c>
      <c r="D32" s="153">
        <v>15.7</v>
      </c>
      <c r="E32" s="153">
        <v>9.6999999999999993</v>
      </c>
      <c r="F32" s="153">
        <v>20.6</v>
      </c>
      <c r="G32" s="153">
        <v>19.600000000000001</v>
      </c>
      <c r="H32" s="153">
        <v>18</v>
      </c>
      <c r="I32" s="153">
        <v>15.7</v>
      </c>
      <c r="J32" s="153">
        <v>8.6999999999999993</v>
      </c>
      <c r="K32" s="153">
        <v>4</v>
      </c>
      <c r="L32" s="153">
        <v>21</v>
      </c>
    </row>
    <row r="33" spans="2:12" x14ac:dyDescent="0.45">
      <c r="B33" s="141" t="s">
        <v>26</v>
      </c>
      <c r="C33" s="10">
        <v>46.8</v>
      </c>
      <c r="D33" s="10">
        <v>10.7</v>
      </c>
      <c r="E33" s="10">
        <v>14.7</v>
      </c>
      <c r="F33" s="10">
        <v>18.600000000000001</v>
      </c>
      <c r="G33" s="10">
        <v>21.6</v>
      </c>
      <c r="H33" s="10">
        <v>18</v>
      </c>
      <c r="I33" s="10">
        <v>9.6999999999999993</v>
      </c>
      <c r="J33" s="10">
        <v>14.7</v>
      </c>
      <c r="K33" s="10">
        <v>4</v>
      </c>
      <c r="L33" s="10">
        <v>21</v>
      </c>
    </row>
  </sheetData>
  <phoneticPr fontId="1"/>
  <pageMargins left="0.7" right="0.7" top="0.75" bottom="0.75" header="0.3" footer="0.3"/>
  <pageSetup paperSize="9" scale="68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007A-E532-404B-ADA7-C8420584BAFD}">
  <sheetPr>
    <pageSetUpPr fitToPage="1"/>
  </sheetPr>
  <dimension ref="B1:AE42"/>
  <sheetViews>
    <sheetView topLeftCell="E2" workbookViewId="0">
      <selection activeCell="R34" sqref="R34"/>
    </sheetView>
  </sheetViews>
  <sheetFormatPr defaultColWidth="9" defaultRowHeight="18" x14ac:dyDescent="0.45"/>
  <cols>
    <col min="1" max="1" width="5.19921875" style="1" customWidth="1"/>
    <col min="2" max="14" width="9" style="1"/>
    <col min="15" max="15" width="13.19921875" style="1" customWidth="1"/>
    <col min="16" max="16384" width="9" style="1"/>
  </cols>
  <sheetData>
    <row r="1" spans="2:31" s="3" customFormat="1" ht="33.75" customHeight="1" x14ac:dyDescent="0.45">
      <c r="B1" s="4" t="s">
        <v>51</v>
      </c>
    </row>
    <row r="2" spans="2:31" ht="33.75" customHeight="1" x14ac:dyDescent="0.45">
      <c r="B2" s="121"/>
    </row>
    <row r="3" spans="2:31" x14ac:dyDescent="0.45">
      <c r="B3" s="122" t="s">
        <v>35</v>
      </c>
      <c r="R3" s="122" t="s">
        <v>54</v>
      </c>
    </row>
    <row r="4" spans="2:31" x14ac:dyDescent="0.45">
      <c r="B4" s="2"/>
      <c r="C4" s="11" t="s">
        <v>1</v>
      </c>
      <c r="D4" s="12" t="s">
        <v>2</v>
      </c>
      <c r="E4" s="13" t="s">
        <v>3</v>
      </c>
      <c r="F4" s="14" t="s">
        <v>4</v>
      </c>
      <c r="G4" s="15" t="s">
        <v>5</v>
      </c>
      <c r="H4" s="16" t="s">
        <v>6</v>
      </c>
      <c r="I4" s="17" t="s">
        <v>7</v>
      </c>
      <c r="J4" s="12" t="s">
        <v>8</v>
      </c>
      <c r="K4" s="19" t="s">
        <v>9</v>
      </c>
      <c r="L4" s="18" t="s">
        <v>10</v>
      </c>
      <c r="M4" s="2" t="s">
        <v>11</v>
      </c>
      <c r="N4" s="2" t="s">
        <v>12</v>
      </c>
      <c r="O4" s="2" t="s">
        <v>13</v>
      </c>
      <c r="R4" s="2"/>
      <c r="S4" s="11" t="s">
        <v>1</v>
      </c>
      <c r="T4" s="12" t="s">
        <v>2</v>
      </c>
      <c r="U4" s="13" t="s">
        <v>3</v>
      </c>
      <c r="V4" s="14" t="s">
        <v>4</v>
      </c>
      <c r="W4" s="15" t="s">
        <v>5</v>
      </c>
      <c r="X4" s="16" t="s">
        <v>6</v>
      </c>
      <c r="Y4" s="17" t="s">
        <v>7</v>
      </c>
      <c r="Z4" s="12" t="s">
        <v>8</v>
      </c>
      <c r="AA4" s="19" t="s">
        <v>9</v>
      </c>
      <c r="AB4" s="18" t="s">
        <v>10</v>
      </c>
      <c r="AC4" s="2" t="s">
        <v>11</v>
      </c>
      <c r="AD4" s="2" t="s">
        <v>12</v>
      </c>
      <c r="AE4" s="2" t="s">
        <v>13</v>
      </c>
    </row>
    <row r="5" spans="2:31" x14ac:dyDescent="0.45">
      <c r="B5" s="2" t="s">
        <v>14</v>
      </c>
      <c r="C5" s="11">
        <v>28</v>
      </c>
      <c r="D5" s="12">
        <v>9</v>
      </c>
      <c r="E5" s="13">
        <v>0</v>
      </c>
      <c r="F5" s="14">
        <v>9</v>
      </c>
      <c r="G5" s="20">
        <v>7</v>
      </c>
      <c r="H5" s="21">
        <v>3</v>
      </c>
      <c r="I5" s="22">
        <v>8</v>
      </c>
      <c r="J5" s="23">
        <v>0</v>
      </c>
      <c r="K5" s="24">
        <v>4</v>
      </c>
      <c r="L5" s="25">
        <v>9</v>
      </c>
      <c r="M5" s="5">
        <v>6</v>
      </c>
      <c r="N5" s="2">
        <v>0</v>
      </c>
      <c r="O5" s="2">
        <f>SUM(C5:L5)</f>
        <v>77</v>
      </c>
      <c r="R5" s="2" t="s">
        <v>14</v>
      </c>
      <c r="S5" s="11">
        <v>0</v>
      </c>
      <c r="T5" s="12">
        <v>0</v>
      </c>
      <c r="U5" s="13">
        <v>0</v>
      </c>
      <c r="V5" s="14">
        <v>0</v>
      </c>
      <c r="W5" s="20">
        <v>0</v>
      </c>
      <c r="X5" s="21">
        <v>0</v>
      </c>
      <c r="Y5" s="22">
        <v>0</v>
      </c>
      <c r="Z5" s="23">
        <v>0</v>
      </c>
      <c r="AA5" s="24">
        <v>0</v>
      </c>
      <c r="AB5" s="25">
        <v>0</v>
      </c>
      <c r="AC5" s="5">
        <v>6</v>
      </c>
      <c r="AD5" s="2">
        <v>0</v>
      </c>
      <c r="AE5" s="2">
        <f>SUM(S5:AB5)</f>
        <v>0</v>
      </c>
    </row>
    <row r="6" spans="2:31" x14ac:dyDescent="0.45">
      <c r="B6" s="2" t="s">
        <v>15</v>
      </c>
      <c r="C6" s="11">
        <v>13</v>
      </c>
      <c r="D6" s="12">
        <v>4</v>
      </c>
      <c r="E6" s="13">
        <v>0</v>
      </c>
      <c r="F6" s="26">
        <v>4</v>
      </c>
      <c r="G6" s="27">
        <v>5</v>
      </c>
      <c r="H6" s="28">
        <v>6</v>
      </c>
      <c r="I6" s="29">
        <v>2</v>
      </c>
      <c r="J6" s="30">
        <v>0</v>
      </c>
      <c r="K6" s="31">
        <v>4</v>
      </c>
      <c r="L6" s="32">
        <v>2</v>
      </c>
      <c r="M6" s="6">
        <v>1</v>
      </c>
      <c r="N6" s="8">
        <v>20</v>
      </c>
      <c r="O6" s="2">
        <f t="shared" ref="O6:O14" si="0">SUM(C6:L6)</f>
        <v>40</v>
      </c>
      <c r="R6" s="2" t="s">
        <v>15</v>
      </c>
      <c r="S6" s="11">
        <v>2</v>
      </c>
      <c r="T6" s="12">
        <v>2</v>
      </c>
      <c r="U6" s="13">
        <v>0</v>
      </c>
      <c r="V6" s="26">
        <v>2</v>
      </c>
      <c r="W6" s="27">
        <v>2</v>
      </c>
      <c r="X6" s="28">
        <v>2</v>
      </c>
      <c r="Y6" s="29">
        <v>2</v>
      </c>
      <c r="Z6" s="30">
        <v>2</v>
      </c>
      <c r="AA6" s="31">
        <v>0</v>
      </c>
      <c r="AB6" s="32">
        <v>2</v>
      </c>
      <c r="AC6" s="6">
        <v>1</v>
      </c>
      <c r="AD6" s="8">
        <v>20</v>
      </c>
      <c r="AE6" s="2">
        <f t="shared" ref="AE6:AE14" si="1">SUM(S6:AB6)</f>
        <v>16</v>
      </c>
    </row>
    <row r="7" spans="2:31" x14ac:dyDescent="0.45">
      <c r="B7" s="2" t="s">
        <v>33</v>
      </c>
      <c r="C7" s="11">
        <v>25</v>
      </c>
      <c r="D7" s="12">
        <v>7</v>
      </c>
      <c r="E7" s="13">
        <v>1</v>
      </c>
      <c r="F7" s="26">
        <v>5</v>
      </c>
      <c r="G7" s="33">
        <v>5</v>
      </c>
      <c r="H7" s="34">
        <v>5</v>
      </c>
      <c r="I7" s="35">
        <v>6</v>
      </c>
      <c r="J7" s="36">
        <v>2</v>
      </c>
      <c r="K7" s="37">
        <v>6</v>
      </c>
      <c r="L7" s="38">
        <v>7</v>
      </c>
      <c r="M7" s="7">
        <v>4</v>
      </c>
      <c r="N7" s="8">
        <v>20</v>
      </c>
      <c r="O7" s="2">
        <f t="shared" si="0"/>
        <v>69</v>
      </c>
      <c r="R7" s="2" t="s">
        <v>33</v>
      </c>
      <c r="S7" s="11">
        <v>2</v>
      </c>
      <c r="T7" s="12">
        <v>2</v>
      </c>
      <c r="U7" s="13">
        <v>0</v>
      </c>
      <c r="V7" s="26">
        <v>2</v>
      </c>
      <c r="W7" s="33">
        <v>2</v>
      </c>
      <c r="X7" s="34">
        <v>1</v>
      </c>
      <c r="Y7" s="35">
        <v>0</v>
      </c>
      <c r="Z7" s="36">
        <v>3</v>
      </c>
      <c r="AA7" s="37">
        <v>1</v>
      </c>
      <c r="AB7" s="38">
        <v>3</v>
      </c>
      <c r="AC7" s="7">
        <v>4</v>
      </c>
      <c r="AD7" s="8">
        <v>20</v>
      </c>
      <c r="AE7" s="2">
        <f t="shared" si="1"/>
        <v>16</v>
      </c>
    </row>
    <row r="8" spans="2:31" x14ac:dyDescent="0.45">
      <c r="B8" s="2" t="s">
        <v>18</v>
      </c>
      <c r="C8" s="11">
        <v>28</v>
      </c>
      <c r="D8" s="12">
        <v>7</v>
      </c>
      <c r="E8" s="13">
        <v>0</v>
      </c>
      <c r="F8" s="14">
        <v>4</v>
      </c>
      <c r="G8" s="39">
        <v>6</v>
      </c>
      <c r="H8" s="40">
        <v>4</v>
      </c>
      <c r="I8" s="41">
        <v>5</v>
      </c>
      <c r="J8" s="42">
        <v>0</v>
      </c>
      <c r="K8" s="43">
        <v>4</v>
      </c>
      <c r="L8" s="44">
        <v>5</v>
      </c>
      <c r="M8" s="9">
        <v>3</v>
      </c>
      <c r="N8" s="2">
        <v>20</v>
      </c>
      <c r="O8" s="2">
        <f t="shared" si="0"/>
        <v>63</v>
      </c>
      <c r="R8" s="2" t="s">
        <v>18</v>
      </c>
      <c r="S8" s="11">
        <v>7</v>
      </c>
      <c r="T8" s="12">
        <v>2</v>
      </c>
      <c r="U8" s="13">
        <v>0</v>
      </c>
      <c r="V8" s="14">
        <v>0</v>
      </c>
      <c r="W8" s="39">
        <v>2</v>
      </c>
      <c r="X8" s="40">
        <v>0</v>
      </c>
      <c r="Y8" s="41">
        <v>0</v>
      </c>
      <c r="Z8" s="42">
        <v>0</v>
      </c>
      <c r="AA8" s="43">
        <v>0</v>
      </c>
      <c r="AB8" s="44">
        <v>0</v>
      </c>
      <c r="AC8" s="9">
        <v>3</v>
      </c>
      <c r="AD8" s="2">
        <v>20</v>
      </c>
      <c r="AE8" s="2">
        <f t="shared" si="1"/>
        <v>11</v>
      </c>
    </row>
    <row r="9" spans="2:31" x14ac:dyDescent="0.45">
      <c r="B9" s="2" t="s">
        <v>19</v>
      </c>
      <c r="C9" s="11">
        <v>16</v>
      </c>
      <c r="D9" s="12">
        <v>4</v>
      </c>
      <c r="E9" s="13">
        <v>0</v>
      </c>
      <c r="F9" s="14">
        <v>4</v>
      </c>
      <c r="G9" s="15">
        <v>9</v>
      </c>
      <c r="H9" s="16">
        <v>6</v>
      </c>
      <c r="I9" s="17">
        <v>3</v>
      </c>
      <c r="J9" s="12">
        <v>0</v>
      </c>
      <c r="K9" s="19">
        <v>5</v>
      </c>
      <c r="L9" s="18">
        <v>6</v>
      </c>
      <c r="M9" s="2">
        <v>1</v>
      </c>
      <c r="N9" s="2">
        <v>0</v>
      </c>
      <c r="O9" s="2">
        <f t="shared" si="0"/>
        <v>53</v>
      </c>
      <c r="R9" s="2" t="s">
        <v>19</v>
      </c>
      <c r="S9" s="11">
        <v>0</v>
      </c>
      <c r="T9" s="12">
        <v>0</v>
      </c>
      <c r="U9" s="13">
        <v>0</v>
      </c>
      <c r="V9" s="14">
        <v>0</v>
      </c>
      <c r="W9" s="15">
        <v>0</v>
      </c>
      <c r="X9" s="16">
        <v>0</v>
      </c>
      <c r="Y9" s="17">
        <v>0</v>
      </c>
      <c r="Z9" s="12">
        <v>0</v>
      </c>
      <c r="AA9" s="19">
        <v>0</v>
      </c>
      <c r="AB9" s="18">
        <v>0</v>
      </c>
      <c r="AC9" s="2">
        <v>1</v>
      </c>
      <c r="AD9" s="2">
        <v>0</v>
      </c>
      <c r="AE9" s="2">
        <f t="shared" si="1"/>
        <v>0</v>
      </c>
    </row>
    <row r="10" spans="2:31" x14ac:dyDescent="0.45">
      <c r="B10" s="2" t="s">
        <v>55</v>
      </c>
      <c r="C10" s="11">
        <v>17</v>
      </c>
      <c r="D10" s="12">
        <v>0</v>
      </c>
      <c r="E10" s="13">
        <v>2</v>
      </c>
      <c r="F10" s="14">
        <v>3</v>
      </c>
      <c r="G10" s="15">
        <v>4</v>
      </c>
      <c r="H10" s="16">
        <v>8</v>
      </c>
      <c r="I10" s="17">
        <v>1</v>
      </c>
      <c r="J10" s="12">
        <v>5</v>
      </c>
      <c r="K10" s="19">
        <v>4</v>
      </c>
      <c r="L10" s="18">
        <v>5</v>
      </c>
      <c r="M10" s="2">
        <v>1</v>
      </c>
      <c r="N10" s="2">
        <v>20</v>
      </c>
      <c r="O10" s="2">
        <f t="shared" si="0"/>
        <v>49</v>
      </c>
      <c r="R10" s="2" t="s">
        <v>55</v>
      </c>
      <c r="S10" s="11">
        <v>2</v>
      </c>
      <c r="T10" s="12">
        <v>0</v>
      </c>
      <c r="U10" s="13">
        <v>3</v>
      </c>
      <c r="V10" s="14">
        <v>2</v>
      </c>
      <c r="W10" s="15">
        <v>2</v>
      </c>
      <c r="X10" s="16">
        <v>0</v>
      </c>
      <c r="Y10" s="17">
        <v>1</v>
      </c>
      <c r="Z10" s="12">
        <v>2</v>
      </c>
      <c r="AA10" s="19">
        <v>0</v>
      </c>
      <c r="AB10" s="18">
        <v>4</v>
      </c>
      <c r="AC10" s="2">
        <v>1</v>
      </c>
      <c r="AD10" s="2">
        <v>20</v>
      </c>
      <c r="AE10" s="2">
        <f t="shared" si="1"/>
        <v>16</v>
      </c>
    </row>
    <row r="11" spans="2:31" x14ac:dyDescent="0.45">
      <c r="B11" s="5" t="s">
        <v>22</v>
      </c>
      <c r="C11" s="45">
        <v>25</v>
      </c>
      <c r="D11" s="23">
        <v>7</v>
      </c>
      <c r="E11" s="46">
        <v>0</v>
      </c>
      <c r="F11" s="47">
        <v>8</v>
      </c>
      <c r="G11" s="20">
        <v>6</v>
      </c>
      <c r="H11" s="21">
        <v>4</v>
      </c>
      <c r="I11" s="22">
        <v>7</v>
      </c>
      <c r="J11" s="23">
        <v>0</v>
      </c>
      <c r="K11" s="24">
        <v>4</v>
      </c>
      <c r="L11" s="25">
        <v>7</v>
      </c>
      <c r="M11" s="5">
        <v>4</v>
      </c>
      <c r="N11" s="5">
        <v>20</v>
      </c>
      <c r="O11" s="2">
        <f t="shared" si="0"/>
        <v>68</v>
      </c>
      <c r="R11" s="5" t="s">
        <v>22</v>
      </c>
      <c r="S11" s="45">
        <v>2</v>
      </c>
      <c r="T11" s="23">
        <v>2</v>
      </c>
      <c r="U11" s="46">
        <v>0</v>
      </c>
      <c r="V11" s="47">
        <v>2</v>
      </c>
      <c r="W11" s="20">
        <v>0</v>
      </c>
      <c r="X11" s="21">
        <v>0</v>
      </c>
      <c r="Y11" s="22">
        <v>3</v>
      </c>
      <c r="Z11" s="23">
        <v>3</v>
      </c>
      <c r="AA11" s="24">
        <v>0</v>
      </c>
      <c r="AB11" s="25">
        <v>3</v>
      </c>
      <c r="AC11" s="5">
        <v>4</v>
      </c>
      <c r="AD11" s="5">
        <v>20</v>
      </c>
      <c r="AE11" s="2">
        <f t="shared" si="1"/>
        <v>15</v>
      </c>
    </row>
    <row r="12" spans="2:31" x14ac:dyDescent="0.45">
      <c r="B12" s="10" t="s">
        <v>23</v>
      </c>
      <c r="C12" s="48">
        <v>18</v>
      </c>
      <c r="D12" s="49">
        <v>0</v>
      </c>
      <c r="E12" s="50">
        <v>4</v>
      </c>
      <c r="F12" s="51">
        <v>7</v>
      </c>
      <c r="G12" s="52">
        <v>10</v>
      </c>
      <c r="H12" s="53">
        <v>8</v>
      </c>
      <c r="I12" s="54">
        <v>2</v>
      </c>
      <c r="J12" s="49">
        <v>6</v>
      </c>
      <c r="K12" s="55">
        <v>5</v>
      </c>
      <c r="L12" s="56">
        <v>6</v>
      </c>
      <c r="M12" s="10">
        <v>2</v>
      </c>
      <c r="N12" s="10">
        <v>20</v>
      </c>
      <c r="O12" s="2">
        <f t="shared" si="0"/>
        <v>66</v>
      </c>
      <c r="R12" s="10" t="s">
        <v>23</v>
      </c>
      <c r="S12" s="48">
        <v>0</v>
      </c>
      <c r="T12" s="49">
        <v>0</v>
      </c>
      <c r="U12" s="50">
        <v>2</v>
      </c>
      <c r="V12" s="51">
        <v>5</v>
      </c>
      <c r="W12" s="52">
        <v>5</v>
      </c>
      <c r="X12" s="53">
        <v>0</v>
      </c>
      <c r="Y12" s="54">
        <v>1</v>
      </c>
      <c r="Z12" s="49">
        <v>2</v>
      </c>
      <c r="AA12" s="55">
        <v>1</v>
      </c>
      <c r="AB12" s="56">
        <v>5</v>
      </c>
      <c r="AC12" s="10">
        <v>2</v>
      </c>
      <c r="AD12" s="10">
        <v>20</v>
      </c>
      <c r="AE12" s="2">
        <f t="shared" si="1"/>
        <v>21</v>
      </c>
    </row>
    <row r="13" spans="2:31" x14ac:dyDescent="0.45">
      <c r="B13" s="10" t="s">
        <v>24</v>
      </c>
      <c r="C13" s="48">
        <v>25</v>
      </c>
      <c r="D13" s="49">
        <v>6</v>
      </c>
      <c r="E13" s="50">
        <v>0</v>
      </c>
      <c r="F13" s="51">
        <v>10</v>
      </c>
      <c r="G13" s="52">
        <v>10</v>
      </c>
      <c r="H13" s="53">
        <v>5</v>
      </c>
      <c r="I13" s="54">
        <v>5</v>
      </c>
      <c r="J13" s="49">
        <v>0</v>
      </c>
      <c r="K13" s="55">
        <v>6</v>
      </c>
      <c r="L13" s="56">
        <v>8</v>
      </c>
      <c r="M13" s="10">
        <v>3</v>
      </c>
      <c r="N13" s="10">
        <v>0</v>
      </c>
      <c r="O13" s="2">
        <f t="shared" si="0"/>
        <v>75</v>
      </c>
      <c r="R13" s="10" t="s">
        <v>24</v>
      </c>
      <c r="S13" s="48">
        <v>0</v>
      </c>
      <c r="T13" s="49">
        <v>0</v>
      </c>
      <c r="U13" s="50">
        <v>0</v>
      </c>
      <c r="V13" s="51">
        <v>0</v>
      </c>
      <c r="W13" s="52">
        <v>0</v>
      </c>
      <c r="X13" s="53">
        <v>0</v>
      </c>
      <c r="Y13" s="54">
        <v>0</v>
      </c>
      <c r="Z13" s="49">
        <v>0</v>
      </c>
      <c r="AA13" s="55">
        <v>0</v>
      </c>
      <c r="AB13" s="56">
        <v>0</v>
      </c>
      <c r="AC13" s="10">
        <v>3</v>
      </c>
      <c r="AD13" s="10">
        <v>0</v>
      </c>
      <c r="AE13" s="2">
        <f t="shared" si="1"/>
        <v>0</v>
      </c>
    </row>
    <row r="14" spans="2:31" x14ac:dyDescent="0.45">
      <c r="B14" s="10" t="s">
        <v>56</v>
      </c>
      <c r="C14" s="48">
        <v>27</v>
      </c>
      <c r="D14" s="49">
        <v>4</v>
      </c>
      <c r="E14" s="50">
        <v>3</v>
      </c>
      <c r="F14" s="51">
        <v>8</v>
      </c>
      <c r="G14" s="52">
        <v>9</v>
      </c>
      <c r="H14" s="53">
        <v>5</v>
      </c>
      <c r="I14" s="54">
        <v>4</v>
      </c>
      <c r="J14" s="49">
        <v>3</v>
      </c>
      <c r="K14" s="55">
        <v>4</v>
      </c>
      <c r="L14" s="56">
        <v>7</v>
      </c>
      <c r="M14" s="10">
        <v>6</v>
      </c>
      <c r="N14" s="10">
        <v>20</v>
      </c>
      <c r="O14" s="2">
        <f t="shared" si="0"/>
        <v>74</v>
      </c>
      <c r="R14" s="10" t="s">
        <v>56</v>
      </c>
      <c r="S14" s="48">
        <v>0</v>
      </c>
      <c r="T14" s="49">
        <v>2</v>
      </c>
      <c r="U14" s="50">
        <v>2</v>
      </c>
      <c r="V14" s="51">
        <v>0</v>
      </c>
      <c r="W14" s="52">
        <v>0</v>
      </c>
      <c r="X14" s="53">
        <v>0</v>
      </c>
      <c r="Y14" s="54">
        <v>2</v>
      </c>
      <c r="Z14" s="49">
        <v>2</v>
      </c>
      <c r="AA14" s="55">
        <v>0</v>
      </c>
      <c r="AB14" s="56">
        <v>0</v>
      </c>
      <c r="AC14" s="10">
        <v>6</v>
      </c>
      <c r="AD14" s="10">
        <v>20</v>
      </c>
      <c r="AE14" s="2">
        <f t="shared" si="1"/>
        <v>8</v>
      </c>
    </row>
    <row r="17" spans="2:31" x14ac:dyDescent="0.45">
      <c r="B17" s="122" t="s">
        <v>36</v>
      </c>
      <c r="R17" s="122" t="s">
        <v>40</v>
      </c>
    </row>
    <row r="18" spans="2:31" x14ac:dyDescent="0.45">
      <c r="B18" s="2"/>
      <c r="C18" s="11" t="s">
        <v>1</v>
      </c>
      <c r="D18" s="12" t="s">
        <v>2</v>
      </c>
      <c r="E18" s="13" t="s">
        <v>3</v>
      </c>
      <c r="F18" s="14" t="s">
        <v>4</v>
      </c>
      <c r="G18" s="15" t="s">
        <v>5</v>
      </c>
      <c r="H18" s="16" t="s">
        <v>6</v>
      </c>
      <c r="I18" s="17" t="s">
        <v>7</v>
      </c>
      <c r="J18" s="12" t="s">
        <v>8</v>
      </c>
      <c r="K18" s="19" t="s">
        <v>9</v>
      </c>
      <c r="L18" s="18" t="s">
        <v>10</v>
      </c>
      <c r="M18" s="2" t="s">
        <v>11</v>
      </c>
      <c r="N18" s="2" t="s">
        <v>12</v>
      </c>
      <c r="O18" s="2" t="s">
        <v>29</v>
      </c>
      <c r="R18" s="2"/>
      <c r="S18" s="11" t="s">
        <v>1</v>
      </c>
      <c r="T18" s="12" t="s">
        <v>2</v>
      </c>
      <c r="U18" s="13" t="s">
        <v>3</v>
      </c>
      <c r="V18" s="14" t="s">
        <v>4</v>
      </c>
      <c r="W18" s="15" t="s">
        <v>5</v>
      </c>
      <c r="X18" s="16" t="s">
        <v>6</v>
      </c>
      <c r="Y18" s="17" t="s">
        <v>7</v>
      </c>
      <c r="Z18" s="12" t="s">
        <v>8</v>
      </c>
      <c r="AA18" s="19" t="s">
        <v>9</v>
      </c>
      <c r="AB18" s="18" t="s">
        <v>10</v>
      </c>
      <c r="AC18" s="2" t="s">
        <v>11</v>
      </c>
      <c r="AD18" s="2" t="s">
        <v>12</v>
      </c>
      <c r="AE18" s="2" t="s">
        <v>29</v>
      </c>
    </row>
    <row r="19" spans="2:31" x14ac:dyDescent="0.45">
      <c r="B19" s="2" t="s">
        <v>14</v>
      </c>
      <c r="C19" s="58">
        <v>0.8</v>
      </c>
      <c r="D19" s="59">
        <v>0.5</v>
      </c>
      <c r="E19" s="60">
        <v>0</v>
      </c>
      <c r="F19" s="61">
        <v>0.3</v>
      </c>
      <c r="G19" s="62">
        <v>0.3</v>
      </c>
      <c r="H19" s="63">
        <v>0.2</v>
      </c>
      <c r="I19" s="64">
        <v>0.5</v>
      </c>
      <c r="J19" s="65">
        <v>0.05</v>
      </c>
      <c r="K19" s="66">
        <v>0</v>
      </c>
      <c r="L19" s="67">
        <v>0.6</v>
      </c>
      <c r="M19" s="5">
        <v>6</v>
      </c>
      <c r="N19" s="2">
        <v>0</v>
      </c>
      <c r="O19" s="57">
        <f>SUM(C19:L19)</f>
        <v>3.25</v>
      </c>
      <c r="R19" s="2" t="s">
        <v>14</v>
      </c>
      <c r="S19" s="58">
        <v>0</v>
      </c>
      <c r="T19" s="59">
        <v>0</v>
      </c>
      <c r="U19" s="60">
        <v>0</v>
      </c>
      <c r="V19" s="61">
        <v>0</v>
      </c>
      <c r="W19" s="62">
        <v>0</v>
      </c>
      <c r="X19" s="63">
        <v>0</v>
      </c>
      <c r="Y19" s="64">
        <v>0</v>
      </c>
      <c r="Z19" s="65">
        <v>0</v>
      </c>
      <c r="AA19" s="66">
        <v>0</v>
      </c>
      <c r="AB19" s="67">
        <v>0</v>
      </c>
      <c r="AC19" s="5">
        <v>6</v>
      </c>
      <c r="AD19" s="2">
        <v>0</v>
      </c>
      <c r="AE19" s="57">
        <f>SUM(S19:AB19)</f>
        <v>0</v>
      </c>
    </row>
    <row r="20" spans="2:31" x14ac:dyDescent="0.45">
      <c r="B20" s="2" t="s">
        <v>15</v>
      </c>
      <c r="C20" s="58">
        <v>0.6</v>
      </c>
      <c r="D20" s="59">
        <v>0.3</v>
      </c>
      <c r="E20" s="60">
        <v>0</v>
      </c>
      <c r="F20" s="68">
        <v>0.5</v>
      </c>
      <c r="G20" s="69">
        <v>0.5</v>
      </c>
      <c r="H20" s="70">
        <v>0.8</v>
      </c>
      <c r="I20" s="71">
        <v>0.2</v>
      </c>
      <c r="J20" s="65">
        <v>0.05</v>
      </c>
      <c r="K20" s="73">
        <v>0</v>
      </c>
      <c r="L20" s="74">
        <v>0.6</v>
      </c>
      <c r="M20" s="6">
        <v>1</v>
      </c>
      <c r="N20" s="8">
        <v>20</v>
      </c>
      <c r="O20" s="57">
        <f t="shared" ref="O20:O28" si="2">SUM(C20:L20)</f>
        <v>3.5500000000000003</v>
      </c>
      <c r="R20" s="2" t="s">
        <v>15</v>
      </c>
      <c r="S20" s="58">
        <v>0.8</v>
      </c>
      <c r="T20" s="59">
        <v>0.6</v>
      </c>
      <c r="U20" s="60">
        <v>0</v>
      </c>
      <c r="V20" s="68">
        <v>0.8</v>
      </c>
      <c r="W20" s="69">
        <v>0.8</v>
      </c>
      <c r="X20" s="70">
        <v>0.8</v>
      </c>
      <c r="Y20" s="71">
        <v>0.3</v>
      </c>
      <c r="Z20" s="72">
        <v>0.05</v>
      </c>
      <c r="AA20" s="73">
        <v>0</v>
      </c>
      <c r="AB20" s="74">
        <v>0.9</v>
      </c>
      <c r="AC20" s="6">
        <v>1</v>
      </c>
      <c r="AD20" s="8">
        <v>20</v>
      </c>
      <c r="AE20" s="57">
        <f t="shared" ref="AE20:AE28" si="3">SUM(S20:AB20)</f>
        <v>5.05</v>
      </c>
    </row>
    <row r="21" spans="2:31" x14ac:dyDescent="0.45">
      <c r="B21" s="2" t="s">
        <v>33</v>
      </c>
      <c r="C21" s="58">
        <v>0.7</v>
      </c>
      <c r="D21" s="59">
        <v>0.4</v>
      </c>
      <c r="E21" s="60">
        <v>0.1</v>
      </c>
      <c r="F21" s="68">
        <v>0.5</v>
      </c>
      <c r="G21" s="75">
        <v>0.5</v>
      </c>
      <c r="H21" s="76">
        <v>0.4</v>
      </c>
      <c r="I21" s="77">
        <v>0.2</v>
      </c>
      <c r="J21" s="78">
        <v>0.05</v>
      </c>
      <c r="K21" s="79">
        <v>0</v>
      </c>
      <c r="L21" s="80">
        <v>0.4</v>
      </c>
      <c r="M21" s="7">
        <v>4</v>
      </c>
      <c r="N21" s="8">
        <v>20</v>
      </c>
      <c r="O21" s="57">
        <f t="shared" si="2"/>
        <v>3.25</v>
      </c>
      <c r="R21" s="2" t="s">
        <v>33</v>
      </c>
      <c r="S21" s="58">
        <v>0.7</v>
      </c>
      <c r="T21" s="59">
        <v>0.4</v>
      </c>
      <c r="U21" s="60">
        <v>0.1</v>
      </c>
      <c r="V21" s="68">
        <v>0.5</v>
      </c>
      <c r="W21" s="75">
        <v>0.5</v>
      </c>
      <c r="X21" s="76">
        <v>0.4</v>
      </c>
      <c r="Y21" s="77">
        <v>0.2</v>
      </c>
      <c r="Z21" s="78">
        <v>0.05</v>
      </c>
      <c r="AA21" s="79">
        <v>0</v>
      </c>
      <c r="AB21" s="80">
        <v>0.4</v>
      </c>
      <c r="AC21" s="7">
        <v>4</v>
      </c>
      <c r="AD21" s="8">
        <v>20</v>
      </c>
      <c r="AE21" s="57">
        <f t="shared" si="3"/>
        <v>3.25</v>
      </c>
    </row>
    <row r="22" spans="2:31" x14ac:dyDescent="0.45">
      <c r="B22" s="2" t="s">
        <v>18</v>
      </c>
      <c r="C22" s="58">
        <v>0.8</v>
      </c>
      <c r="D22" s="59">
        <v>0.6</v>
      </c>
      <c r="E22" s="60">
        <v>0</v>
      </c>
      <c r="F22" s="61">
        <v>0.6</v>
      </c>
      <c r="G22" s="81">
        <v>0.5</v>
      </c>
      <c r="H22" s="82">
        <v>0.4</v>
      </c>
      <c r="I22" s="83">
        <v>0.3</v>
      </c>
      <c r="J22" s="84">
        <v>0</v>
      </c>
      <c r="K22" s="85">
        <v>0</v>
      </c>
      <c r="L22" s="86">
        <v>0.6</v>
      </c>
      <c r="M22" s="9">
        <v>3</v>
      </c>
      <c r="N22" s="2">
        <v>20</v>
      </c>
      <c r="O22" s="57">
        <f t="shared" si="2"/>
        <v>3.8</v>
      </c>
      <c r="R22" s="2" t="s">
        <v>18</v>
      </c>
      <c r="S22" s="58">
        <v>0.8</v>
      </c>
      <c r="T22" s="59">
        <v>0.6</v>
      </c>
      <c r="U22" s="60">
        <v>0</v>
      </c>
      <c r="V22" s="61">
        <v>0.6</v>
      </c>
      <c r="W22" s="81">
        <v>0.5</v>
      </c>
      <c r="X22" s="82">
        <v>0.4</v>
      </c>
      <c r="Y22" s="83">
        <v>0.3</v>
      </c>
      <c r="Z22" s="84">
        <v>0</v>
      </c>
      <c r="AA22" s="85">
        <v>0</v>
      </c>
      <c r="AB22" s="86">
        <v>0.6</v>
      </c>
      <c r="AC22" s="9">
        <v>3</v>
      </c>
      <c r="AD22" s="2">
        <v>20</v>
      </c>
      <c r="AE22" s="57">
        <f t="shared" si="3"/>
        <v>3.8</v>
      </c>
    </row>
    <row r="23" spans="2:31" x14ac:dyDescent="0.45">
      <c r="B23" s="2" t="s">
        <v>19</v>
      </c>
      <c r="C23" s="58">
        <v>0.6</v>
      </c>
      <c r="D23" s="59">
        <v>0.3</v>
      </c>
      <c r="E23" s="60">
        <v>0</v>
      </c>
      <c r="F23" s="61">
        <v>0.6</v>
      </c>
      <c r="G23" s="87">
        <v>0.8</v>
      </c>
      <c r="H23" s="88">
        <v>0.6</v>
      </c>
      <c r="I23" s="89">
        <v>0.1</v>
      </c>
      <c r="J23" s="65">
        <v>0.05</v>
      </c>
      <c r="K23" s="90">
        <v>0.05</v>
      </c>
      <c r="L23" s="91">
        <v>0.8</v>
      </c>
      <c r="M23" s="2">
        <v>1</v>
      </c>
      <c r="N23" s="2">
        <v>0</v>
      </c>
      <c r="O23" s="57">
        <f t="shared" si="2"/>
        <v>3.8999999999999995</v>
      </c>
      <c r="R23" s="2" t="s">
        <v>19</v>
      </c>
      <c r="S23" s="58">
        <v>0</v>
      </c>
      <c r="T23" s="59">
        <v>0</v>
      </c>
      <c r="U23" s="60">
        <v>0</v>
      </c>
      <c r="V23" s="61">
        <v>0</v>
      </c>
      <c r="W23" s="87">
        <v>0</v>
      </c>
      <c r="X23" s="88">
        <v>0</v>
      </c>
      <c r="Y23" s="89">
        <v>0</v>
      </c>
      <c r="Z23" s="59">
        <v>0</v>
      </c>
      <c r="AA23" s="90">
        <v>0</v>
      </c>
      <c r="AB23" s="91">
        <v>0</v>
      </c>
      <c r="AC23" s="2">
        <v>1</v>
      </c>
      <c r="AD23" s="2">
        <v>0</v>
      </c>
      <c r="AE23" s="57">
        <f t="shared" si="3"/>
        <v>0</v>
      </c>
    </row>
    <row r="24" spans="2:31" x14ac:dyDescent="0.45">
      <c r="B24" s="2" t="s">
        <v>55</v>
      </c>
      <c r="C24" s="58">
        <v>0.6</v>
      </c>
      <c r="D24" s="59">
        <v>0</v>
      </c>
      <c r="E24" s="60">
        <v>0.2</v>
      </c>
      <c r="F24" s="61">
        <v>0.4</v>
      </c>
      <c r="G24" s="87">
        <v>0.4</v>
      </c>
      <c r="H24" s="88">
        <v>0.7</v>
      </c>
      <c r="I24" s="89">
        <v>0.1</v>
      </c>
      <c r="J24" s="59">
        <v>0.3</v>
      </c>
      <c r="K24" s="90">
        <v>0</v>
      </c>
      <c r="L24" s="91">
        <v>0.8</v>
      </c>
      <c r="M24" s="2">
        <v>1</v>
      </c>
      <c r="N24" s="2">
        <v>20</v>
      </c>
      <c r="O24" s="57">
        <f t="shared" si="2"/>
        <v>3.5</v>
      </c>
      <c r="R24" s="2" t="s">
        <v>55</v>
      </c>
      <c r="S24" s="58">
        <v>0.6</v>
      </c>
      <c r="T24" s="59">
        <v>0</v>
      </c>
      <c r="U24" s="60">
        <v>0.2</v>
      </c>
      <c r="V24" s="61">
        <v>0.4</v>
      </c>
      <c r="W24" s="87">
        <v>0.4</v>
      </c>
      <c r="X24" s="88">
        <v>0.7</v>
      </c>
      <c r="Y24" s="89">
        <v>0.1</v>
      </c>
      <c r="Z24" s="59">
        <v>0.3</v>
      </c>
      <c r="AA24" s="90">
        <v>0</v>
      </c>
      <c r="AB24" s="91">
        <v>0.8</v>
      </c>
      <c r="AC24" s="2">
        <v>1</v>
      </c>
      <c r="AD24" s="2">
        <v>20</v>
      </c>
      <c r="AE24" s="57">
        <f t="shared" si="3"/>
        <v>3.5</v>
      </c>
    </row>
    <row r="25" spans="2:31" x14ac:dyDescent="0.45">
      <c r="B25" s="5" t="s">
        <v>22</v>
      </c>
      <c r="C25" s="92">
        <v>0.6</v>
      </c>
      <c r="D25" s="65">
        <v>0.5</v>
      </c>
      <c r="E25" s="93">
        <v>0</v>
      </c>
      <c r="F25" s="94">
        <v>0.7</v>
      </c>
      <c r="G25" s="62">
        <v>0.4</v>
      </c>
      <c r="H25" s="63">
        <v>0.4</v>
      </c>
      <c r="I25" s="64">
        <v>0.4</v>
      </c>
      <c r="J25" s="65">
        <v>0.05</v>
      </c>
      <c r="K25" s="66">
        <v>0</v>
      </c>
      <c r="L25" s="67">
        <v>0.8</v>
      </c>
      <c r="M25" s="5">
        <v>4</v>
      </c>
      <c r="N25" s="5">
        <v>20</v>
      </c>
      <c r="O25" s="57">
        <f t="shared" si="2"/>
        <v>3.8499999999999996</v>
      </c>
      <c r="R25" s="5" t="s">
        <v>22</v>
      </c>
      <c r="S25" s="92">
        <v>0.6</v>
      </c>
      <c r="T25" s="65">
        <v>0.5</v>
      </c>
      <c r="U25" s="93">
        <v>0</v>
      </c>
      <c r="V25" s="94">
        <v>0.7</v>
      </c>
      <c r="W25" s="62">
        <v>0.4</v>
      </c>
      <c r="X25" s="63">
        <v>0.4</v>
      </c>
      <c r="Y25" s="64">
        <v>0.4</v>
      </c>
      <c r="Z25" s="65">
        <v>0</v>
      </c>
      <c r="AA25" s="66">
        <v>0</v>
      </c>
      <c r="AB25" s="67">
        <v>0.8</v>
      </c>
      <c r="AC25" s="5">
        <v>4</v>
      </c>
      <c r="AD25" s="5">
        <v>20</v>
      </c>
      <c r="AE25" s="57">
        <f t="shared" si="3"/>
        <v>3.8</v>
      </c>
    </row>
    <row r="26" spans="2:31" x14ac:dyDescent="0.45">
      <c r="B26" s="10" t="s">
        <v>23</v>
      </c>
      <c r="C26" s="95">
        <v>0.5</v>
      </c>
      <c r="D26" s="96">
        <v>0</v>
      </c>
      <c r="E26" s="97">
        <v>0.4</v>
      </c>
      <c r="F26" s="98">
        <v>0.7</v>
      </c>
      <c r="G26" s="99">
        <v>0.8</v>
      </c>
      <c r="H26" s="100">
        <v>0.6</v>
      </c>
      <c r="I26" s="101">
        <v>0.2</v>
      </c>
      <c r="J26" s="96">
        <v>0.3</v>
      </c>
      <c r="K26" s="102">
        <v>0</v>
      </c>
      <c r="L26" s="103">
        <v>0.7</v>
      </c>
      <c r="M26" s="10">
        <v>2</v>
      </c>
      <c r="N26" s="10">
        <v>20</v>
      </c>
      <c r="O26" s="57">
        <f t="shared" si="2"/>
        <v>4.2</v>
      </c>
      <c r="R26" s="10" t="s">
        <v>23</v>
      </c>
      <c r="S26" s="95">
        <v>0.5</v>
      </c>
      <c r="T26" s="96">
        <v>0</v>
      </c>
      <c r="U26" s="97">
        <v>0.4</v>
      </c>
      <c r="V26" s="98">
        <v>0.7</v>
      </c>
      <c r="W26" s="99">
        <v>0.8</v>
      </c>
      <c r="X26" s="100">
        <v>0.6</v>
      </c>
      <c r="Y26" s="101">
        <v>0.2</v>
      </c>
      <c r="Z26" s="96">
        <v>0.3</v>
      </c>
      <c r="AA26" s="102">
        <v>0</v>
      </c>
      <c r="AB26" s="103">
        <v>0.7</v>
      </c>
      <c r="AC26" s="10">
        <v>2</v>
      </c>
      <c r="AD26" s="10">
        <v>20</v>
      </c>
      <c r="AE26" s="57">
        <f t="shared" si="3"/>
        <v>4.2</v>
      </c>
    </row>
    <row r="27" spans="2:31" x14ac:dyDescent="0.45">
      <c r="B27" s="10" t="s">
        <v>24</v>
      </c>
      <c r="C27" s="95">
        <v>0.5</v>
      </c>
      <c r="D27" s="96">
        <v>0.3</v>
      </c>
      <c r="E27" s="97">
        <v>0</v>
      </c>
      <c r="F27" s="98">
        <v>0.8</v>
      </c>
      <c r="G27" s="99">
        <v>0.5</v>
      </c>
      <c r="H27" s="100">
        <v>0.4</v>
      </c>
      <c r="I27" s="101">
        <v>0.2</v>
      </c>
      <c r="J27" s="96">
        <v>0</v>
      </c>
      <c r="K27" s="102">
        <v>0</v>
      </c>
      <c r="L27" s="103">
        <v>0.7</v>
      </c>
      <c r="M27" s="10">
        <v>3</v>
      </c>
      <c r="N27" s="10">
        <v>0</v>
      </c>
      <c r="O27" s="57">
        <f t="shared" si="2"/>
        <v>3.4000000000000004</v>
      </c>
      <c r="R27" s="10" t="s">
        <v>24</v>
      </c>
      <c r="S27" s="95">
        <v>0</v>
      </c>
      <c r="T27" s="96">
        <v>0</v>
      </c>
      <c r="U27" s="97">
        <v>0</v>
      </c>
      <c r="V27" s="98">
        <v>0</v>
      </c>
      <c r="W27" s="99">
        <v>0</v>
      </c>
      <c r="X27" s="100">
        <v>0</v>
      </c>
      <c r="Y27" s="101">
        <v>0</v>
      </c>
      <c r="Z27" s="96">
        <v>0</v>
      </c>
      <c r="AA27" s="102">
        <v>0</v>
      </c>
      <c r="AB27" s="103">
        <v>0</v>
      </c>
      <c r="AC27" s="10">
        <v>3</v>
      </c>
      <c r="AD27" s="10">
        <v>0</v>
      </c>
      <c r="AE27" s="57">
        <f t="shared" si="3"/>
        <v>0</v>
      </c>
    </row>
    <row r="28" spans="2:31" x14ac:dyDescent="0.45">
      <c r="B28" s="10" t="s">
        <v>56</v>
      </c>
      <c r="C28" s="95"/>
      <c r="D28" s="96">
        <v>0.3</v>
      </c>
      <c r="E28" s="97">
        <v>0.3</v>
      </c>
      <c r="F28" s="98">
        <v>0.6</v>
      </c>
      <c r="G28" s="99">
        <v>0.7</v>
      </c>
      <c r="H28" s="100">
        <v>0.5</v>
      </c>
      <c r="I28" s="101">
        <v>0.2</v>
      </c>
      <c r="J28" s="96">
        <v>0.2</v>
      </c>
      <c r="K28" s="102">
        <v>0</v>
      </c>
      <c r="L28" s="103">
        <v>0.5</v>
      </c>
      <c r="M28" s="10">
        <v>6</v>
      </c>
      <c r="N28" s="10">
        <v>20</v>
      </c>
      <c r="O28" s="57">
        <f t="shared" si="2"/>
        <v>3.3000000000000003</v>
      </c>
      <c r="R28" s="10" t="s">
        <v>56</v>
      </c>
      <c r="S28" s="95">
        <v>0.7</v>
      </c>
      <c r="T28" s="96">
        <v>0.3</v>
      </c>
      <c r="U28" s="97">
        <v>0.3</v>
      </c>
      <c r="V28" s="98">
        <v>0.6</v>
      </c>
      <c r="W28" s="99">
        <v>0.7</v>
      </c>
      <c r="X28" s="100">
        <v>0.5</v>
      </c>
      <c r="Y28" s="101">
        <v>0.2</v>
      </c>
      <c r="Z28" s="96">
        <v>0.2</v>
      </c>
      <c r="AA28" s="102">
        <v>0</v>
      </c>
      <c r="AB28" s="103">
        <v>0.5</v>
      </c>
      <c r="AC28" s="10">
        <v>6</v>
      </c>
      <c r="AD28" s="10">
        <v>20</v>
      </c>
      <c r="AE28" s="123">
        <f t="shared" si="3"/>
        <v>4</v>
      </c>
    </row>
    <row r="31" spans="2:31" x14ac:dyDescent="0.45">
      <c r="B31" s="122" t="s">
        <v>37</v>
      </c>
    </row>
    <row r="32" spans="2:31" x14ac:dyDescent="0.45">
      <c r="B32" s="2"/>
      <c r="C32" s="11" t="s">
        <v>1</v>
      </c>
      <c r="D32" s="12" t="s">
        <v>2</v>
      </c>
      <c r="E32" s="13" t="s">
        <v>3</v>
      </c>
      <c r="F32" s="14" t="s">
        <v>4</v>
      </c>
      <c r="G32" s="15" t="s">
        <v>5</v>
      </c>
      <c r="H32" s="16" t="s">
        <v>6</v>
      </c>
      <c r="I32" s="17" t="s">
        <v>7</v>
      </c>
      <c r="J32" s="12" t="s">
        <v>8</v>
      </c>
      <c r="K32" s="19" t="s">
        <v>9</v>
      </c>
      <c r="L32" s="104" t="s">
        <v>10</v>
      </c>
      <c r="M32" s="2" t="s">
        <v>11</v>
      </c>
      <c r="N32" s="2" t="s">
        <v>12</v>
      </c>
      <c r="O32" s="2" t="s">
        <v>53</v>
      </c>
    </row>
    <row r="33" spans="2:27" x14ac:dyDescent="0.45">
      <c r="B33" s="2" t="s">
        <v>14</v>
      </c>
      <c r="C33" s="11">
        <v>39.200000000000003</v>
      </c>
      <c r="D33" s="12">
        <v>16</v>
      </c>
      <c r="E33" s="13">
        <v>0</v>
      </c>
      <c r="F33" s="14">
        <v>13.2</v>
      </c>
      <c r="G33" s="15">
        <v>11.2</v>
      </c>
      <c r="H33" s="16">
        <v>5.8</v>
      </c>
      <c r="I33" s="17">
        <v>15</v>
      </c>
      <c r="J33" s="12">
        <v>0.7</v>
      </c>
      <c r="K33" s="19">
        <v>4</v>
      </c>
      <c r="L33" s="104">
        <v>17.399999999999999</v>
      </c>
      <c r="M33" s="5">
        <v>6</v>
      </c>
      <c r="N33" s="2">
        <v>0</v>
      </c>
      <c r="O33" s="105">
        <v>122.5</v>
      </c>
    </row>
    <row r="34" spans="2:27" x14ac:dyDescent="0.45">
      <c r="B34" s="2" t="s">
        <v>15</v>
      </c>
      <c r="C34" s="11">
        <v>42.4</v>
      </c>
      <c r="D34" s="12">
        <v>23.7</v>
      </c>
      <c r="E34" s="13">
        <v>0</v>
      </c>
      <c r="F34" s="14">
        <v>31.5</v>
      </c>
      <c r="G34" s="15">
        <v>32.5</v>
      </c>
      <c r="H34" s="16">
        <v>39.200000000000003</v>
      </c>
      <c r="I34" s="17">
        <v>13.8</v>
      </c>
      <c r="J34" s="12">
        <v>3.95</v>
      </c>
      <c r="K34" s="19">
        <v>4</v>
      </c>
      <c r="L34" s="104">
        <v>33.4</v>
      </c>
      <c r="M34" s="6">
        <v>1</v>
      </c>
      <c r="N34" s="8">
        <v>20</v>
      </c>
      <c r="O34" s="105">
        <v>224.45</v>
      </c>
      <c r="R34" s="11">
        <v>28</v>
      </c>
      <c r="S34" s="12">
        <v>7</v>
      </c>
      <c r="T34" s="13">
        <v>0</v>
      </c>
      <c r="U34" s="14">
        <v>4</v>
      </c>
      <c r="V34" s="39">
        <v>6</v>
      </c>
      <c r="W34" s="40">
        <v>4</v>
      </c>
      <c r="X34" s="41">
        <v>5</v>
      </c>
      <c r="Y34" s="42">
        <v>0</v>
      </c>
      <c r="Z34" s="43">
        <v>4</v>
      </c>
      <c r="AA34" s="44">
        <v>5</v>
      </c>
    </row>
    <row r="35" spans="2:27" x14ac:dyDescent="0.45">
      <c r="B35" s="2" t="s">
        <v>33</v>
      </c>
      <c r="C35" s="11">
        <v>52.2</v>
      </c>
      <c r="D35" s="12">
        <v>23.4</v>
      </c>
      <c r="E35" s="13">
        <v>4.5999999999999996</v>
      </c>
      <c r="F35" s="14">
        <v>25</v>
      </c>
      <c r="G35" s="15">
        <v>25</v>
      </c>
      <c r="H35" s="16">
        <v>20.399999999999999</v>
      </c>
      <c r="I35" s="17">
        <v>13.2</v>
      </c>
      <c r="J35" s="12">
        <v>6.8</v>
      </c>
      <c r="K35" s="19">
        <v>7</v>
      </c>
      <c r="L35" s="104">
        <v>24.4</v>
      </c>
      <c r="M35" s="7">
        <v>4</v>
      </c>
      <c r="N35" s="8">
        <v>20</v>
      </c>
      <c r="O35" s="105">
        <v>202</v>
      </c>
      <c r="R35" s="58">
        <v>0.8</v>
      </c>
      <c r="S35" s="59">
        <v>0.6</v>
      </c>
      <c r="T35" s="60">
        <v>0</v>
      </c>
      <c r="U35" s="61">
        <v>0.6</v>
      </c>
      <c r="V35" s="81">
        <v>0.5</v>
      </c>
      <c r="W35" s="82">
        <v>0.4</v>
      </c>
      <c r="X35" s="83">
        <v>0.3</v>
      </c>
      <c r="Y35" s="84">
        <v>0</v>
      </c>
      <c r="Z35" s="85">
        <v>0</v>
      </c>
      <c r="AA35" s="86">
        <v>0.6</v>
      </c>
    </row>
    <row r="36" spans="2:27" x14ac:dyDescent="0.45">
      <c r="B36" s="2" t="s">
        <v>18</v>
      </c>
      <c r="C36" s="11">
        <v>64.599999999999994</v>
      </c>
      <c r="D36" s="12">
        <v>31.2</v>
      </c>
      <c r="E36" s="13">
        <v>0</v>
      </c>
      <c r="F36" s="14">
        <v>26.2</v>
      </c>
      <c r="G36" s="15">
        <v>26.5</v>
      </c>
      <c r="H36" s="16">
        <v>18.8</v>
      </c>
      <c r="I36" s="17">
        <v>16.100000000000001</v>
      </c>
      <c r="J36" s="12">
        <v>0</v>
      </c>
      <c r="K36" s="19">
        <v>4</v>
      </c>
      <c r="L36" s="104">
        <v>27.2</v>
      </c>
      <c r="M36" s="9">
        <v>3</v>
      </c>
      <c r="N36" s="2">
        <v>20</v>
      </c>
      <c r="O36" s="105">
        <v>214.6</v>
      </c>
      <c r="R36" s="11">
        <v>7</v>
      </c>
      <c r="S36" s="12">
        <v>2</v>
      </c>
      <c r="T36" s="13">
        <v>0</v>
      </c>
      <c r="U36" s="14">
        <v>0</v>
      </c>
      <c r="V36" s="39">
        <v>2</v>
      </c>
      <c r="W36" s="40">
        <v>0</v>
      </c>
      <c r="X36" s="41">
        <v>0</v>
      </c>
      <c r="Y36" s="42">
        <v>0</v>
      </c>
      <c r="Z36" s="43">
        <v>0</v>
      </c>
      <c r="AA36" s="44">
        <v>0</v>
      </c>
    </row>
    <row r="37" spans="2:27" x14ac:dyDescent="0.45">
      <c r="B37" s="2" t="s">
        <v>19</v>
      </c>
      <c r="C37" s="11">
        <v>27.4</v>
      </c>
      <c r="D37" s="12">
        <v>9.6999999999999993</v>
      </c>
      <c r="E37" s="13">
        <v>0</v>
      </c>
      <c r="F37" s="14">
        <v>15.4</v>
      </c>
      <c r="G37" s="15">
        <v>24.2</v>
      </c>
      <c r="H37" s="16">
        <v>17.399999999999999</v>
      </c>
      <c r="I37" s="17">
        <v>4.9000000000000004</v>
      </c>
      <c r="J37" s="12">
        <v>0.95</v>
      </c>
      <c r="K37" s="19">
        <v>5.95</v>
      </c>
      <c r="L37" s="104">
        <v>21.2</v>
      </c>
      <c r="M37" s="2">
        <v>1</v>
      </c>
      <c r="N37" s="2">
        <v>0</v>
      </c>
      <c r="O37" s="105">
        <v>127.1</v>
      </c>
      <c r="R37" s="58">
        <v>0.8</v>
      </c>
      <c r="S37" s="59">
        <v>0.6</v>
      </c>
      <c r="T37" s="60">
        <v>0</v>
      </c>
      <c r="U37" s="61">
        <v>0.6</v>
      </c>
      <c r="V37" s="81">
        <v>0.5</v>
      </c>
      <c r="W37" s="82">
        <v>0.4</v>
      </c>
      <c r="X37" s="83">
        <v>0.3</v>
      </c>
      <c r="Y37" s="84">
        <v>0</v>
      </c>
      <c r="Z37" s="85">
        <v>0</v>
      </c>
      <c r="AA37" s="86">
        <v>0.6</v>
      </c>
    </row>
    <row r="38" spans="2:27" x14ac:dyDescent="0.45">
      <c r="B38" s="2" t="s">
        <v>55</v>
      </c>
      <c r="C38" s="11">
        <v>42.4</v>
      </c>
      <c r="D38" s="12">
        <v>0</v>
      </c>
      <c r="E38" s="13">
        <v>12.8</v>
      </c>
      <c r="F38" s="14">
        <v>20.6</v>
      </c>
      <c r="G38" s="15">
        <v>21.6</v>
      </c>
      <c r="H38" s="16">
        <v>35.299999999999997</v>
      </c>
      <c r="I38" s="17">
        <v>5.9</v>
      </c>
      <c r="J38" s="12">
        <v>18.7</v>
      </c>
      <c r="K38" s="19">
        <v>4</v>
      </c>
      <c r="L38" s="104">
        <v>40.200000000000003</v>
      </c>
      <c r="M38" s="2">
        <v>1</v>
      </c>
      <c r="N38" s="2">
        <v>20</v>
      </c>
      <c r="O38" s="105">
        <v>201.5</v>
      </c>
      <c r="R38" s="11">
        <v>64.599999999999994</v>
      </c>
      <c r="S38" s="12">
        <v>31.2</v>
      </c>
      <c r="T38" s="13">
        <v>0</v>
      </c>
      <c r="U38" s="14">
        <v>26.2</v>
      </c>
      <c r="V38" s="15">
        <v>26.5</v>
      </c>
      <c r="W38" s="16">
        <v>18.8</v>
      </c>
      <c r="X38" s="17">
        <v>16.100000000000001</v>
      </c>
      <c r="Y38" s="12">
        <v>0</v>
      </c>
      <c r="Z38" s="19">
        <v>4</v>
      </c>
      <c r="AA38" s="104">
        <v>27.2</v>
      </c>
    </row>
    <row r="39" spans="2:27" x14ac:dyDescent="0.45">
      <c r="B39" s="5" t="s">
        <v>22</v>
      </c>
      <c r="C39" s="11">
        <v>48.6</v>
      </c>
      <c r="D39" s="12">
        <v>27</v>
      </c>
      <c r="E39" s="13">
        <v>0</v>
      </c>
      <c r="F39" s="14">
        <v>35.200000000000003</v>
      </c>
      <c r="G39" s="15">
        <v>20.399999999999999</v>
      </c>
      <c r="H39" s="16">
        <v>18.399999999999999</v>
      </c>
      <c r="I39" s="17">
        <v>24.4</v>
      </c>
      <c r="J39" s="12">
        <v>3.8</v>
      </c>
      <c r="K39" s="19">
        <v>4</v>
      </c>
      <c r="L39" s="104">
        <v>38.799999999999997</v>
      </c>
      <c r="M39" s="5">
        <v>4</v>
      </c>
      <c r="N39" s="5">
        <v>20</v>
      </c>
      <c r="O39" s="106">
        <v>220.6</v>
      </c>
    </row>
    <row r="40" spans="2:27" x14ac:dyDescent="0.45">
      <c r="B40" s="10" t="s">
        <v>23</v>
      </c>
      <c r="C40" s="11">
        <v>37</v>
      </c>
      <c r="D40" s="12">
        <v>0</v>
      </c>
      <c r="E40" s="13">
        <v>21.2</v>
      </c>
      <c r="F40" s="14">
        <v>38.6</v>
      </c>
      <c r="G40" s="15">
        <v>45.4</v>
      </c>
      <c r="H40" s="16">
        <v>30.8</v>
      </c>
      <c r="I40" s="17">
        <v>10.6</v>
      </c>
      <c r="J40" s="12">
        <v>19.399999999999999</v>
      </c>
      <c r="K40" s="19">
        <v>6</v>
      </c>
      <c r="L40" s="104">
        <v>37.6</v>
      </c>
      <c r="M40" s="10">
        <v>2</v>
      </c>
      <c r="N40" s="10">
        <v>20</v>
      </c>
      <c r="O40" s="107">
        <v>268.60000000000002</v>
      </c>
    </row>
    <row r="41" spans="2:27" x14ac:dyDescent="0.45">
      <c r="B41" s="10" t="s">
        <v>24</v>
      </c>
      <c r="C41" s="11">
        <v>33.5</v>
      </c>
      <c r="D41" s="12">
        <v>11.1</v>
      </c>
      <c r="E41" s="13">
        <v>0</v>
      </c>
      <c r="F41" s="14">
        <v>23.6</v>
      </c>
      <c r="G41" s="15">
        <v>18.5</v>
      </c>
      <c r="H41" s="16">
        <v>11.8</v>
      </c>
      <c r="I41" s="17">
        <v>8.4</v>
      </c>
      <c r="J41" s="12">
        <v>0</v>
      </c>
      <c r="K41" s="19">
        <v>6</v>
      </c>
      <c r="L41" s="104">
        <v>19.899999999999999</v>
      </c>
      <c r="M41" s="10">
        <v>3</v>
      </c>
      <c r="N41" s="10">
        <v>0</v>
      </c>
      <c r="O41" s="107">
        <v>135.80000000000001</v>
      </c>
    </row>
    <row r="42" spans="2:27" x14ac:dyDescent="0.45">
      <c r="B42" s="10" t="s">
        <v>56</v>
      </c>
      <c r="C42" s="11">
        <v>50.8</v>
      </c>
      <c r="D42" s="12">
        <v>16.2</v>
      </c>
      <c r="E42" s="13">
        <v>15.2</v>
      </c>
      <c r="F42" s="14">
        <v>28.4</v>
      </c>
      <c r="G42" s="15">
        <v>32.799999999999997</v>
      </c>
      <c r="H42" s="16">
        <v>22</v>
      </c>
      <c r="I42" s="17">
        <v>12.8</v>
      </c>
      <c r="J42" s="12">
        <v>11.8</v>
      </c>
      <c r="K42" s="19">
        <v>4</v>
      </c>
      <c r="L42" s="104">
        <v>24</v>
      </c>
      <c r="M42" s="10">
        <v>6</v>
      </c>
      <c r="N42" s="10">
        <v>20</v>
      </c>
      <c r="O42" s="107">
        <v>244</v>
      </c>
    </row>
  </sheetData>
  <phoneticPr fontId="1"/>
  <pageMargins left="0.25" right="0.25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D857-2CC8-4227-BE4E-843C9246517D}">
  <dimension ref="B2:W37"/>
  <sheetViews>
    <sheetView topLeftCell="B4" workbookViewId="0">
      <selection activeCell="L13" sqref="L13"/>
    </sheetView>
  </sheetViews>
  <sheetFormatPr defaultRowHeight="18" x14ac:dyDescent="0.45"/>
  <cols>
    <col min="2" max="2" width="21.09765625" bestFit="1" customWidth="1"/>
    <col min="12" max="12" width="8.09765625" customWidth="1"/>
    <col min="14" max="14" width="19.8984375" bestFit="1" customWidth="1"/>
  </cols>
  <sheetData>
    <row r="2" spans="2:23" x14ac:dyDescent="0.45">
      <c r="B2" s="2"/>
      <c r="C2" s="116" t="s">
        <v>1</v>
      </c>
      <c r="D2" s="172" t="s">
        <v>2</v>
      </c>
      <c r="E2" s="177" t="s">
        <v>3</v>
      </c>
      <c r="F2" s="47" t="s">
        <v>4</v>
      </c>
      <c r="G2" s="173" t="s">
        <v>5</v>
      </c>
      <c r="H2" s="21" t="s">
        <v>6</v>
      </c>
      <c r="I2" s="174" t="s">
        <v>7</v>
      </c>
      <c r="J2" s="46" t="s">
        <v>8</v>
      </c>
      <c r="K2" s="24" t="s">
        <v>9</v>
      </c>
      <c r="L2" s="175" t="s">
        <v>10</v>
      </c>
      <c r="M2" s="180" t="s">
        <v>57</v>
      </c>
      <c r="N2" s="169" t="s">
        <v>58</v>
      </c>
      <c r="O2" s="168" t="s">
        <v>59</v>
      </c>
      <c r="P2" s="168" t="s">
        <v>60</v>
      </c>
      <c r="Q2" s="168" t="s">
        <v>61</v>
      </c>
      <c r="R2" s="168" t="s">
        <v>62</v>
      </c>
      <c r="S2" s="168" t="s">
        <v>63</v>
      </c>
      <c r="T2" s="168" t="s">
        <v>156</v>
      </c>
      <c r="U2" s="168" t="s">
        <v>157</v>
      </c>
      <c r="V2" s="168" t="s">
        <v>158</v>
      </c>
      <c r="W2" s="168" t="s">
        <v>64</v>
      </c>
    </row>
    <row r="3" spans="2:23" x14ac:dyDescent="0.45">
      <c r="B3" s="141" t="s">
        <v>65</v>
      </c>
      <c r="C3" s="171">
        <v>1</v>
      </c>
      <c r="D3" s="110">
        <v>2</v>
      </c>
      <c r="E3" s="178">
        <v>0</v>
      </c>
      <c r="F3" s="51">
        <v>3</v>
      </c>
      <c r="G3" s="157">
        <v>4</v>
      </c>
      <c r="H3" s="53">
        <v>2</v>
      </c>
      <c r="I3" s="154">
        <v>1</v>
      </c>
      <c r="J3" s="50">
        <v>1</v>
      </c>
      <c r="K3" s="55">
        <v>0</v>
      </c>
      <c r="L3" s="176">
        <v>0</v>
      </c>
      <c r="M3" s="179">
        <f>SUM(C3:L3)</f>
        <v>14</v>
      </c>
      <c r="N3" s="179" t="s">
        <v>66</v>
      </c>
      <c r="O3" s="168" t="s">
        <v>67</v>
      </c>
      <c r="P3" s="168"/>
      <c r="Q3" s="168"/>
      <c r="R3" s="168"/>
      <c r="S3" s="168"/>
      <c r="T3" s="168"/>
      <c r="U3" s="168"/>
      <c r="V3" s="168"/>
      <c r="W3" s="168"/>
    </row>
    <row r="4" spans="2:23" x14ac:dyDescent="0.45">
      <c r="B4" s="139" t="s">
        <v>68</v>
      </c>
      <c r="C4" s="171">
        <v>4</v>
      </c>
      <c r="D4" s="110">
        <v>2</v>
      </c>
      <c r="E4" s="178">
        <v>0</v>
      </c>
      <c r="F4" s="51">
        <v>2</v>
      </c>
      <c r="G4" s="157">
        <v>2</v>
      </c>
      <c r="H4" s="53">
        <v>0</v>
      </c>
      <c r="I4" s="154">
        <v>2</v>
      </c>
      <c r="J4" s="50">
        <v>2</v>
      </c>
      <c r="K4" s="55">
        <v>0</v>
      </c>
      <c r="L4" s="176">
        <v>0</v>
      </c>
      <c r="M4" s="179">
        <f t="shared" ref="M4:M19" si="0">SUM(C4:L4)</f>
        <v>14</v>
      </c>
      <c r="N4" s="179" t="s">
        <v>69</v>
      </c>
      <c r="O4" s="168" t="s">
        <v>67</v>
      </c>
      <c r="P4" s="168"/>
      <c r="Q4" s="168"/>
      <c r="R4" s="168"/>
      <c r="S4" s="168"/>
      <c r="T4" s="168"/>
      <c r="U4" s="168"/>
      <c r="V4" s="168"/>
      <c r="W4" s="168"/>
    </row>
    <row r="5" spans="2:23" x14ac:dyDescent="0.45">
      <c r="B5" s="141" t="s">
        <v>70</v>
      </c>
      <c r="C5" s="171">
        <v>2</v>
      </c>
      <c r="D5" s="110">
        <v>2</v>
      </c>
      <c r="E5" s="178">
        <v>0</v>
      </c>
      <c r="F5" s="51">
        <v>2</v>
      </c>
      <c r="G5" s="157">
        <v>1</v>
      </c>
      <c r="H5" s="53">
        <v>1</v>
      </c>
      <c r="I5" s="154">
        <v>3</v>
      </c>
      <c r="J5" s="50">
        <v>3</v>
      </c>
      <c r="K5" s="55">
        <v>0</v>
      </c>
      <c r="L5" s="176">
        <v>0</v>
      </c>
      <c r="M5" s="179">
        <f t="shared" si="0"/>
        <v>14</v>
      </c>
      <c r="N5" s="179" t="s">
        <v>71</v>
      </c>
      <c r="O5" s="168"/>
      <c r="P5" s="168" t="s">
        <v>67</v>
      </c>
      <c r="Q5" s="168"/>
      <c r="R5" s="168"/>
      <c r="S5" s="168"/>
      <c r="T5" s="168"/>
      <c r="U5" s="168"/>
      <c r="V5" s="168"/>
      <c r="W5" s="168"/>
    </row>
    <row r="6" spans="2:23" x14ac:dyDescent="0.45">
      <c r="B6" s="170" t="s">
        <v>72</v>
      </c>
      <c r="C6" s="171">
        <v>7</v>
      </c>
      <c r="D6" s="110">
        <v>3</v>
      </c>
      <c r="E6" s="178">
        <v>0</v>
      </c>
      <c r="F6" s="51">
        <v>1</v>
      </c>
      <c r="G6" s="157">
        <v>2</v>
      </c>
      <c r="H6" s="53">
        <v>0</v>
      </c>
      <c r="I6" s="154">
        <v>1</v>
      </c>
      <c r="J6" s="50">
        <v>0</v>
      </c>
      <c r="K6" s="55">
        <v>0</v>
      </c>
      <c r="L6" s="176">
        <v>0</v>
      </c>
      <c r="M6" s="179">
        <f t="shared" si="0"/>
        <v>14</v>
      </c>
      <c r="N6" s="179" t="s">
        <v>66</v>
      </c>
      <c r="O6" s="168"/>
      <c r="P6" s="168"/>
      <c r="Q6" s="168" t="s">
        <v>67</v>
      </c>
      <c r="R6" s="168"/>
      <c r="S6" s="168"/>
      <c r="T6" s="168"/>
      <c r="U6" s="168"/>
      <c r="V6" s="168"/>
      <c r="W6" s="168" t="s">
        <v>67</v>
      </c>
    </row>
    <row r="7" spans="2:23" x14ac:dyDescent="0.45">
      <c r="B7" s="139" t="s">
        <v>73</v>
      </c>
      <c r="C7" s="171">
        <v>2</v>
      </c>
      <c r="D7" s="110">
        <v>2</v>
      </c>
      <c r="E7" s="178">
        <v>0</v>
      </c>
      <c r="F7" s="51">
        <v>2</v>
      </c>
      <c r="G7" s="157">
        <v>2</v>
      </c>
      <c r="H7" s="53">
        <v>1</v>
      </c>
      <c r="I7" s="154">
        <v>2</v>
      </c>
      <c r="J7" s="50">
        <v>2</v>
      </c>
      <c r="K7" s="55">
        <v>2</v>
      </c>
      <c r="L7" s="176">
        <v>0</v>
      </c>
      <c r="M7" s="179">
        <f t="shared" si="0"/>
        <v>15</v>
      </c>
      <c r="N7" s="179" t="s">
        <v>74</v>
      </c>
      <c r="O7" s="168"/>
      <c r="P7" s="168" t="s">
        <v>67</v>
      </c>
      <c r="Q7" s="168"/>
      <c r="R7" s="168"/>
      <c r="S7" s="168"/>
      <c r="T7" s="168"/>
      <c r="U7" s="168"/>
      <c r="V7" s="168"/>
      <c r="W7" s="168"/>
    </row>
    <row r="8" spans="2:23" x14ac:dyDescent="0.45">
      <c r="B8" s="139" t="s">
        <v>75</v>
      </c>
      <c r="C8" s="171">
        <v>3</v>
      </c>
      <c r="D8" s="110">
        <v>1</v>
      </c>
      <c r="E8" s="178">
        <v>0</v>
      </c>
      <c r="F8" s="51">
        <v>2</v>
      </c>
      <c r="G8" s="157">
        <v>1</v>
      </c>
      <c r="H8" s="53">
        <v>1</v>
      </c>
      <c r="I8" s="154">
        <v>3</v>
      </c>
      <c r="J8" s="50">
        <v>2</v>
      </c>
      <c r="K8" s="55">
        <v>2</v>
      </c>
      <c r="L8" s="176">
        <v>0</v>
      </c>
      <c r="M8" s="179">
        <f t="shared" si="0"/>
        <v>15</v>
      </c>
      <c r="N8" s="179" t="s">
        <v>76</v>
      </c>
      <c r="O8" s="168" t="s">
        <v>67</v>
      </c>
      <c r="P8" s="168" t="s">
        <v>67</v>
      </c>
      <c r="Q8" s="168" t="s">
        <v>67</v>
      </c>
      <c r="R8" s="168"/>
      <c r="S8" s="168"/>
      <c r="T8" s="168"/>
      <c r="U8" s="168"/>
      <c r="V8" s="168"/>
      <c r="W8" s="168"/>
    </row>
    <row r="9" spans="2:23" x14ac:dyDescent="0.45">
      <c r="B9" s="141" t="s">
        <v>77</v>
      </c>
      <c r="C9" s="171">
        <v>2</v>
      </c>
      <c r="D9" s="110">
        <v>0</v>
      </c>
      <c r="E9" s="178">
        <v>4</v>
      </c>
      <c r="F9" s="51">
        <v>2</v>
      </c>
      <c r="G9" s="157">
        <v>0</v>
      </c>
      <c r="H9" s="53">
        <v>3</v>
      </c>
      <c r="I9" s="154">
        <v>1</v>
      </c>
      <c r="J9" s="50">
        <v>2</v>
      </c>
      <c r="K9" s="55">
        <v>0</v>
      </c>
      <c r="L9" s="176">
        <v>0</v>
      </c>
      <c r="M9" s="179">
        <f t="shared" si="0"/>
        <v>14</v>
      </c>
      <c r="N9" s="179" t="s">
        <v>78</v>
      </c>
      <c r="O9" s="168"/>
      <c r="P9" s="168"/>
      <c r="Q9" s="168"/>
      <c r="R9" s="168"/>
      <c r="S9" s="168" t="s">
        <v>159</v>
      </c>
      <c r="T9" s="168" t="s">
        <v>67</v>
      </c>
      <c r="U9" s="168" t="s">
        <v>67</v>
      </c>
      <c r="V9" s="168" t="s">
        <v>67</v>
      </c>
      <c r="W9" s="168"/>
    </row>
    <row r="10" spans="2:23" x14ac:dyDescent="0.45">
      <c r="B10" s="139" t="s">
        <v>79</v>
      </c>
      <c r="C10" s="171">
        <v>3</v>
      </c>
      <c r="D10" s="110">
        <v>0</v>
      </c>
      <c r="E10" s="178">
        <v>1</v>
      </c>
      <c r="F10" s="51">
        <v>2</v>
      </c>
      <c r="G10" s="157">
        <v>0</v>
      </c>
      <c r="H10" s="53">
        <v>1</v>
      </c>
      <c r="I10" s="154">
        <v>2</v>
      </c>
      <c r="J10" s="50">
        <v>5</v>
      </c>
      <c r="K10" s="55">
        <v>0</v>
      </c>
      <c r="L10" s="176">
        <v>0</v>
      </c>
      <c r="M10" s="179">
        <f t="shared" si="0"/>
        <v>14</v>
      </c>
      <c r="N10" s="179" t="s">
        <v>80</v>
      </c>
      <c r="O10" s="168"/>
      <c r="P10" s="168"/>
      <c r="Q10" s="168"/>
      <c r="R10" s="168"/>
      <c r="S10" s="168" t="s">
        <v>67</v>
      </c>
      <c r="T10" s="168" t="s">
        <v>67</v>
      </c>
      <c r="U10" s="168" t="s">
        <v>67</v>
      </c>
      <c r="V10" s="168" t="s">
        <v>67</v>
      </c>
      <c r="W10" s="168"/>
    </row>
    <row r="11" spans="2:23" x14ac:dyDescent="0.45">
      <c r="B11" s="139" t="s">
        <v>81</v>
      </c>
      <c r="C11" s="171">
        <v>2</v>
      </c>
      <c r="D11" s="110">
        <v>0</v>
      </c>
      <c r="E11" s="178">
        <v>0</v>
      </c>
      <c r="F11" s="51">
        <v>0</v>
      </c>
      <c r="G11" s="157">
        <v>2</v>
      </c>
      <c r="H11" s="53">
        <v>5</v>
      </c>
      <c r="I11" s="154">
        <v>2</v>
      </c>
      <c r="J11" s="50">
        <v>2</v>
      </c>
      <c r="K11" s="55">
        <v>1</v>
      </c>
      <c r="L11" s="176">
        <v>0</v>
      </c>
      <c r="M11" s="179">
        <f t="shared" si="0"/>
        <v>14</v>
      </c>
      <c r="N11" s="179" t="s">
        <v>82</v>
      </c>
      <c r="O11" s="168"/>
      <c r="P11" s="168"/>
      <c r="Q11" s="168"/>
      <c r="R11" s="168"/>
      <c r="S11" s="168"/>
      <c r="T11" s="168"/>
      <c r="U11" s="168"/>
      <c r="V11" s="168"/>
      <c r="W11" s="168" t="s">
        <v>67</v>
      </c>
    </row>
    <row r="12" spans="2:23" x14ac:dyDescent="0.45">
      <c r="B12" s="139" t="s">
        <v>100</v>
      </c>
      <c r="C12" s="171">
        <v>1</v>
      </c>
      <c r="D12" s="110">
        <v>1</v>
      </c>
      <c r="E12" s="178">
        <v>1</v>
      </c>
      <c r="F12" s="51">
        <v>2</v>
      </c>
      <c r="G12" s="157">
        <v>3</v>
      </c>
      <c r="H12" s="53">
        <v>1</v>
      </c>
      <c r="I12" s="154">
        <v>1</v>
      </c>
      <c r="J12" s="50">
        <v>3</v>
      </c>
      <c r="K12" s="55">
        <v>2</v>
      </c>
      <c r="L12" s="176">
        <v>0</v>
      </c>
      <c r="M12" s="179">
        <f t="shared" si="0"/>
        <v>15</v>
      </c>
      <c r="N12" s="179" t="s">
        <v>102</v>
      </c>
      <c r="O12" s="168"/>
      <c r="P12" s="168"/>
      <c r="Q12" s="168"/>
      <c r="R12" s="168"/>
      <c r="S12" s="168"/>
      <c r="T12" s="168"/>
      <c r="U12" s="168"/>
      <c r="V12" s="168"/>
      <c r="W12" s="168"/>
    </row>
    <row r="13" spans="2:23" x14ac:dyDescent="0.45">
      <c r="B13" s="139" t="s">
        <v>83</v>
      </c>
      <c r="C13" s="171">
        <v>3</v>
      </c>
      <c r="D13" s="110">
        <v>3</v>
      </c>
      <c r="E13" s="178">
        <v>0</v>
      </c>
      <c r="F13" s="51">
        <v>1</v>
      </c>
      <c r="G13" s="157">
        <v>3</v>
      </c>
      <c r="H13" s="53">
        <v>0</v>
      </c>
      <c r="I13" s="154">
        <v>3</v>
      </c>
      <c r="J13" s="50">
        <v>0</v>
      </c>
      <c r="K13" s="55">
        <v>2</v>
      </c>
      <c r="L13" s="176">
        <v>0</v>
      </c>
      <c r="M13" s="179">
        <f t="shared" si="0"/>
        <v>15</v>
      </c>
      <c r="N13" s="179" t="s">
        <v>84</v>
      </c>
      <c r="O13" s="168"/>
      <c r="P13" s="168" t="s">
        <v>67</v>
      </c>
      <c r="Q13" s="168" t="s">
        <v>67</v>
      </c>
      <c r="R13" s="168"/>
      <c r="S13" s="168"/>
      <c r="T13" s="168"/>
      <c r="U13" s="168"/>
      <c r="V13" s="168"/>
      <c r="W13" s="168"/>
    </row>
    <row r="14" spans="2:23" x14ac:dyDescent="0.45">
      <c r="B14" s="139" t="s">
        <v>85</v>
      </c>
      <c r="C14" s="171">
        <v>2</v>
      </c>
      <c r="D14" s="110">
        <v>1</v>
      </c>
      <c r="E14" s="178">
        <v>0</v>
      </c>
      <c r="F14" s="51">
        <v>5</v>
      </c>
      <c r="G14" s="157">
        <v>2</v>
      </c>
      <c r="H14" s="53">
        <v>0</v>
      </c>
      <c r="I14" s="154">
        <v>1</v>
      </c>
      <c r="J14" s="50">
        <v>2</v>
      </c>
      <c r="K14" s="55">
        <v>2</v>
      </c>
      <c r="L14" s="176">
        <v>0</v>
      </c>
      <c r="M14" s="179">
        <f t="shared" si="0"/>
        <v>15</v>
      </c>
      <c r="N14" s="179" t="s">
        <v>86</v>
      </c>
      <c r="O14" s="168"/>
      <c r="P14" s="168"/>
      <c r="Q14" s="168"/>
      <c r="R14" s="168" t="s">
        <v>67</v>
      </c>
      <c r="S14" s="168"/>
      <c r="T14" s="168"/>
      <c r="U14" s="168"/>
      <c r="V14" s="168"/>
      <c r="W14" s="168"/>
    </row>
    <row r="15" spans="2:23" x14ac:dyDescent="0.45">
      <c r="B15" s="169" t="s">
        <v>87</v>
      </c>
      <c r="C15" s="171">
        <v>2</v>
      </c>
      <c r="D15" s="110">
        <v>2</v>
      </c>
      <c r="E15" s="178">
        <v>0</v>
      </c>
      <c r="F15" s="51">
        <v>3</v>
      </c>
      <c r="G15" s="157">
        <v>2</v>
      </c>
      <c r="H15" s="53">
        <v>1</v>
      </c>
      <c r="I15" s="154">
        <v>2</v>
      </c>
      <c r="J15" s="50">
        <v>2</v>
      </c>
      <c r="K15" s="55">
        <v>0</v>
      </c>
      <c r="L15" s="176">
        <v>0</v>
      </c>
      <c r="M15" s="179">
        <f t="shared" si="0"/>
        <v>14</v>
      </c>
      <c r="N15" s="179" t="s">
        <v>88</v>
      </c>
      <c r="O15" s="168"/>
      <c r="P15" s="168"/>
      <c r="Q15" s="168"/>
      <c r="R15" s="168" t="s">
        <v>67</v>
      </c>
      <c r="S15" s="168"/>
      <c r="T15" s="168"/>
      <c r="U15" s="168"/>
      <c r="V15" s="168"/>
      <c r="W15" s="168"/>
    </row>
    <row r="16" spans="2:23" x14ac:dyDescent="0.45">
      <c r="B16" s="141" t="s">
        <v>89</v>
      </c>
      <c r="C16" s="171">
        <v>3</v>
      </c>
      <c r="D16" s="110">
        <v>2</v>
      </c>
      <c r="E16" s="178">
        <v>0</v>
      </c>
      <c r="F16" s="51">
        <v>1</v>
      </c>
      <c r="G16" s="157">
        <v>0</v>
      </c>
      <c r="H16" s="53">
        <v>1</v>
      </c>
      <c r="I16" s="154">
        <v>5</v>
      </c>
      <c r="J16" s="50">
        <v>2</v>
      </c>
      <c r="K16" s="55">
        <v>0</v>
      </c>
      <c r="L16" s="176">
        <v>0</v>
      </c>
      <c r="M16" s="179">
        <f t="shared" si="0"/>
        <v>14</v>
      </c>
      <c r="N16" s="179" t="s">
        <v>90</v>
      </c>
      <c r="O16" s="168"/>
      <c r="P16" s="168" t="s">
        <v>67</v>
      </c>
      <c r="Q16" s="168" t="s">
        <v>67</v>
      </c>
      <c r="R16" s="168" t="s">
        <v>67</v>
      </c>
      <c r="S16" s="168"/>
      <c r="T16" s="168"/>
      <c r="U16" s="168"/>
      <c r="V16" s="168"/>
      <c r="W16" s="168"/>
    </row>
    <row r="17" spans="2:23" x14ac:dyDescent="0.45">
      <c r="B17" s="2" t="s">
        <v>98</v>
      </c>
      <c r="C17" s="171">
        <v>3</v>
      </c>
      <c r="D17" s="110">
        <v>0</v>
      </c>
      <c r="E17" s="178">
        <v>2</v>
      </c>
      <c r="F17" s="51">
        <v>1</v>
      </c>
      <c r="G17" s="157">
        <v>0</v>
      </c>
      <c r="H17" s="53">
        <v>0</v>
      </c>
      <c r="I17" s="154">
        <v>3</v>
      </c>
      <c r="J17" s="50">
        <v>5</v>
      </c>
      <c r="K17" s="55">
        <v>0</v>
      </c>
      <c r="L17" s="176">
        <v>0</v>
      </c>
      <c r="M17" s="179">
        <f t="shared" si="0"/>
        <v>14</v>
      </c>
      <c r="N17" s="179" t="s">
        <v>90</v>
      </c>
      <c r="O17" s="168"/>
      <c r="P17" s="168"/>
      <c r="Q17" s="168" t="s">
        <v>67</v>
      </c>
      <c r="R17" s="168"/>
      <c r="S17" s="168"/>
      <c r="T17" s="168" t="s">
        <v>67</v>
      </c>
      <c r="U17" s="168" t="s">
        <v>67</v>
      </c>
      <c r="V17" s="168" t="s">
        <v>67</v>
      </c>
      <c r="W17" s="168"/>
    </row>
    <row r="18" spans="2:23" x14ac:dyDescent="0.45">
      <c r="B18" s="141" t="s">
        <v>91</v>
      </c>
      <c r="C18" s="171">
        <v>3</v>
      </c>
      <c r="D18" s="110">
        <v>3</v>
      </c>
      <c r="E18" s="178">
        <v>1</v>
      </c>
      <c r="F18" s="51">
        <v>1</v>
      </c>
      <c r="G18" s="157">
        <v>2</v>
      </c>
      <c r="H18" s="53">
        <v>1</v>
      </c>
      <c r="I18" s="154">
        <v>3</v>
      </c>
      <c r="J18" s="50">
        <v>0</v>
      </c>
      <c r="K18" s="55">
        <v>0</v>
      </c>
      <c r="L18" s="176">
        <v>0</v>
      </c>
      <c r="M18" s="179">
        <f t="shared" si="0"/>
        <v>14</v>
      </c>
      <c r="N18" s="179" t="s">
        <v>66</v>
      </c>
      <c r="O18" s="168" t="s">
        <v>67</v>
      </c>
      <c r="P18" s="168"/>
      <c r="Q18" s="168"/>
      <c r="R18" s="168"/>
      <c r="S18" s="168"/>
      <c r="T18" s="168" t="s">
        <v>67</v>
      </c>
      <c r="U18" s="168" t="s">
        <v>67</v>
      </c>
      <c r="V18" s="168" t="s">
        <v>67</v>
      </c>
      <c r="W18" s="168"/>
    </row>
    <row r="19" spans="2:23" x14ac:dyDescent="0.45">
      <c r="B19" s="141" t="s">
        <v>92</v>
      </c>
      <c r="C19" s="171">
        <v>3</v>
      </c>
      <c r="D19" s="110">
        <v>1</v>
      </c>
      <c r="E19" s="178">
        <v>3</v>
      </c>
      <c r="F19" s="51">
        <v>2</v>
      </c>
      <c r="G19" s="157">
        <v>1</v>
      </c>
      <c r="H19" s="53">
        <v>1</v>
      </c>
      <c r="I19" s="154">
        <v>0</v>
      </c>
      <c r="J19" s="50">
        <v>3</v>
      </c>
      <c r="K19" s="55">
        <v>0</v>
      </c>
      <c r="L19" s="176">
        <v>0</v>
      </c>
      <c r="M19" s="179">
        <f t="shared" si="0"/>
        <v>14</v>
      </c>
      <c r="N19" s="179" t="s">
        <v>93</v>
      </c>
      <c r="O19" s="168" t="s">
        <v>67</v>
      </c>
      <c r="P19" s="168"/>
      <c r="Q19" s="168"/>
      <c r="R19" s="168"/>
      <c r="S19" s="168" t="s">
        <v>67</v>
      </c>
      <c r="T19" s="168" t="s">
        <v>67</v>
      </c>
      <c r="U19" s="168" t="s">
        <v>67</v>
      </c>
      <c r="V19" s="168" t="s">
        <v>67</v>
      </c>
      <c r="W19" s="168"/>
    </row>
    <row r="20" spans="2:23" x14ac:dyDescent="0.45">
      <c r="B20" s="141" t="s">
        <v>99</v>
      </c>
      <c r="C20" s="171">
        <v>0</v>
      </c>
      <c r="D20" s="110">
        <v>1</v>
      </c>
      <c r="E20" s="178">
        <v>1</v>
      </c>
      <c r="F20" s="51">
        <v>3</v>
      </c>
      <c r="G20" s="157">
        <v>4</v>
      </c>
      <c r="H20" s="53">
        <v>3</v>
      </c>
      <c r="I20" s="154">
        <v>1</v>
      </c>
      <c r="J20" s="50">
        <v>1</v>
      </c>
      <c r="K20" s="55">
        <v>0</v>
      </c>
      <c r="L20" s="176">
        <v>0</v>
      </c>
      <c r="M20" s="179">
        <f t="shared" ref="M20" si="1">SUM(C20:L20)</f>
        <v>14</v>
      </c>
      <c r="N20" s="179" t="s">
        <v>101</v>
      </c>
      <c r="O20" s="168" t="s">
        <v>67</v>
      </c>
      <c r="P20" s="168"/>
      <c r="Q20" s="168"/>
      <c r="R20" s="168"/>
      <c r="S20" s="168" t="s">
        <v>67</v>
      </c>
      <c r="T20" s="168" t="s">
        <v>67</v>
      </c>
      <c r="U20" s="168" t="s">
        <v>67</v>
      </c>
      <c r="V20" s="168" t="s">
        <v>67</v>
      </c>
      <c r="W20" s="168"/>
    </row>
    <row r="22" spans="2:23" x14ac:dyDescent="0.45">
      <c r="B22" t="s">
        <v>94</v>
      </c>
      <c r="C22" s="171">
        <v>30</v>
      </c>
      <c r="D22" s="184">
        <v>7</v>
      </c>
      <c r="E22" s="181">
        <v>0</v>
      </c>
      <c r="F22" s="162">
        <v>6</v>
      </c>
      <c r="G22" s="182">
        <v>4</v>
      </c>
      <c r="H22" s="164">
        <v>0</v>
      </c>
      <c r="I22" s="156">
        <v>13</v>
      </c>
      <c r="J22" s="161">
        <v>0</v>
      </c>
      <c r="K22" s="166">
        <v>4</v>
      </c>
      <c r="L22" s="183">
        <v>8</v>
      </c>
    </row>
    <row r="23" spans="2:23" x14ac:dyDescent="0.45">
      <c r="B23" s="141" t="s">
        <v>65</v>
      </c>
      <c r="C23" s="185">
        <f>C$22-C3</f>
        <v>29</v>
      </c>
      <c r="D23" s="168">
        <f t="shared" ref="D23:L23" si="2">D$22-D3</f>
        <v>5</v>
      </c>
      <c r="E23" s="168">
        <f>E$22-E3</f>
        <v>0</v>
      </c>
      <c r="F23" s="168">
        <f t="shared" si="2"/>
        <v>3</v>
      </c>
      <c r="G23" s="168">
        <f t="shared" si="2"/>
        <v>0</v>
      </c>
      <c r="H23" s="168">
        <f t="shared" si="2"/>
        <v>-2</v>
      </c>
      <c r="I23" s="168">
        <f t="shared" si="2"/>
        <v>12</v>
      </c>
      <c r="J23" s="168">
        <f t="shared" si="2"/>
        <v>-1</v>
      </c>
      <c r="K23" s="168">
        <f t="shared" si="2"/>
        <v>4</v>
      </c>
      <c r="L23" s="168">
        <f t="shared" si="2"/>
        <v>8</v>
      </c>
    </row>
    <row r="24" spans="2:23" x14ac:dyDescent="0.45">
      <c r="B24" s="139" t="s">
        <v>68</v>
      </c>
      <c r="C24" s="168">
        <f>C$22-C4</f>
        <v>26</v>
      </c>
      <c r="D24" s="168">
        <f>D$22-D4</f>
        <v>5</v>
      </c>
      <c r="E24" s="168">
        <f>E$22-E4</f>
        <v>0</v>
      </c>
      <c r="F24" s="168">
        <f t="shared" ref="F24:L24" si="3">F$22-F4</f>
        <v>4</v>
      </c>
      <c r="G24" s="168">
        <f t="shared" si="3"/>
        <v>2</v>
      </c>
      <c r="H24" s="168">
        <f t="shared" si="3"/>
        <v>0</v>
      </c>
      <c r="I24" s="168">
        <f t="shared" si="3"/>
        <v>11</v>
      </c>
      <c r="J24" s="168">
        <f t="shared" si="3"/>
        <v>-2</v>
      </c>
      <c r="K24" s="168">
        <f t="shared" si="3"/>
        <v>4</v>
      </c>
      <c r="L24" s="168">
        <f t="shared" si="3"/>
        <v>8</v>
      </c>
    </row>
    <row r="25" spans="2:23" x14ac:dyDescent="0.45">
      <c r="B25" s="141" t="s">
        <v>70</v>
      </c>
      <c r="C25" s="168">
        <f t="shared" ref="C25:L25" si="4">C$22-C5</f>
        <v>28</v>
      </c>
      <c r="D25" s="168">
        <f t="shared" si="4"/>
        <v>5</v>
      </c>
      <c r="E25" s="168">
        <f t="shared" si="4"/>
        <v>0</v>
      </c>
      <c r="F25" s="168">
        <f t="shared" si="4"/>
        <v>4</v>
      </c>
      <c r="G25" s="168">
        <f t="shared" si="4"/>
        <v>3</v>
      </c>
      <c r="H25" s="168">
        <f t="shared" si="4"/>
        <v>-1</v>
      </c>
      <c r="I25" s="168">
        <f t="shared" si="4"/>
        <v>10</v>
      </c>
      <c r="J25" s="168">
        <f t="shared" si="4"/>
        <v>-3</v>
      </c>
      <c r="K25" s="168">
        <f t="shared" si="4"/>
        <v>4</v>
      </c>
      <c r="L25" s="168">
        <f t="shared" si="4"/>
        <v>8</v>
      </c>
    </row>
    <row r="26" spans="2:23" x14ac:dyDescent="0.45">
      <c r="B26" s="170" t="s">
        <v>72</v>
      </c>
      <c r="C26" s="168">
        <f t="shared" ref="C26:L26" si="5">C$22-C6</f>
        <v>23</v>
      </c>
      <c r="D26" s="168">
        <f t="shared" si="5"/>
        <v>4</v>
      </c>
      <c r="E26" s="168">
        <f t="shared" si="5"/>
        <v>0</v>
      </c>
      <c r="F26" s="168">
        <f t="shared" si="5"/>
        <v>5</v>
      </c>
      <c r="G26" s="168">
        <f t="shared" si="5"/>
        <v>2</v>
      </c>
      <c r="H26" s="168">
        <f t="shared" si="5"/>
        <v>0</v>
      </c>
      <c r="I26" s="168">
        <f t="shared" si="5"/>
        <v>12</v>
      </c>
      <c r="J26" s="168">
        <f t="shared" si="5"/>
        <v>0</v>
      </c>
      <c r="K26" s="168">
        <f t="shared" si="5"/>
        <v>4</v>
      </c>
      <c r="L26" s="168">
        <f t="shared" si="5"/>
        <v>8</v>
      </c>
    </row>
    <row r="27" spans="2:23" x14ac:dyDescent="0.45">
      <c r="B27" s="139" t="s">
        <v>73</v>
      </c>
      <c r="C27" s="168">
        <f t="shared" ref="C27:L27" si="6">C$22-C7</f>
        <v>28</v>
      </c>
      <c r="D27" s="168">
        <f t="shared" si="6"/>
        <v>5</v>
      </c>
      <c r="E27" s="168">
        <f t="shared" si="6"/>
        <v>0</v>
      </c>
      <c r="F27" s="168">
        <f t="shared" si="6"/>
        <v>4</v>
      </c>
      <c r="G27" s="168">
        <f t="shared" si="6"/>
        <v>2</v>
      </c>
      <c r="H27" s="168">
        <f t="shared" si="6"/>
        <v>-1</v>
      </c>
      <c r="I27" s="168">
        <f t="shared" si="6"/>
        <v>11</v>
      </c>
      <c r="J27" s="168">
        <f t="shared" si="6"/>
        <v>-2</v>
      </c>
      <c r="K27" s="168">
        <f t="shared" si="6"/>
        <v>2</v>
      </c>
      <c r="L27" s="168">
        <f t="shared" si="6"/>
        <v>8</v>
      </c>
    </row>
    <row r="28" spans="2:23" x14ac:dyDescent="0.45">
      <c r="B28" s="139" t="s">
        <v>75</v>
      </c>
      <c r="C28" s="168">
        <f t="shared" ref="C28:L28" si="7">C$22-C8</f>
        <v>27</v>
      </c>
      <c r="D28" s="168">
        <f t="shared" si="7"/>
        <v>6</v>
      </c>
      <c r="E28" s="168">
        <f t="shared" si="7"/>
        <v>0</v>
      </c>
      <c r="F28" s="168">
        <f t="shared" si="7"/>
        <v>4</v>
      </c>
      <c r="G28" s="168">
        <f t="shared" si="7"/>
        <v>3</v>
      </c>
      <c r="H28" s="168">
        <f t="shared" si="7"/>
        <v>-1</v>
      </c>
      <c r="I28" s="168">
        <f t="shared" si="7"/>
        <v>10</v>
      </c>
      <c r="J28" s="168">
        <f t="shared" si="7"/>
        <v>-2</v>
      </c>
      <c r="K28" s="168">
        <f t="shared" si="7"/>
        <v>2</v>
      </c>
      <c r="L28" s="168">
        <f t="shared" si="7"/>
        <v>8</v>
      </c>
    </row>
    <row r="29" spans="2:23" x14ac:dyDescent="0.45">
      <c r="B29" s="141" t="s">
        <v>77</v>
      </c>
      <c r="C29" s="168">
        <f t="shared" ref="C29:L29" si="8">C$22-C9</f>
        <v>28</v>
      </c>
      <c r="D29" s="168">
        <f t="shared" si="8"/>
        <v>7</v>
      </c>
      <c r="E29" s="168">
        <f t="shared" si="8"/>
        <v>-4</v>
      </c>
      <c r="F29" s="168">
        <f t="shared" si="8"/>
        <v>4</v>
      </c>
      <c r="G29" s="168">
        <f t="shared" si="8"/>
        <v>4</v>
      </c>
      <c r="H29" s="168">
        <f t="shared" si="8"/>
        <v>-3</v>
      </c>
      <c r="I29" s="168">
        <f t="shared" si="8"/>
        <v>12</v>
      </c>
      <c r="J29" s="168">
        <f t="shared" si="8"/>
        <v>-2</v>
      </c>
      <c r="K29" s="168">
        <f t="shared" si="8"/>
        <v>4</v>
      </c>
      <c r="L29" s="168">
        <f t="shared" si="8"/>
        <v>8</v>
      </c>
    </row>
    <row r="30" spans="2:23" x14ac:dyDescent="0.45">
      <c r="B30" s="139" t="s">
        <v>79</v>
      </c>
      <c r="C30" s="168">
        <f t="shared" ref="C30:L30" si="9">C$22-C10</f>
        <v>27</v>
      </c>
      <c r="D30" s="168">
        <f t="shared" si="9"/>
        <v>7</v>
      </c>
      <c r="E30" s="168">
        <f t="shared" si="9"/>
        <v>-1</v>
      </c>
      <c r="F30" s="168">
        <f t="shared" si="9"/>
        <v>4</v>
      </c>
      <c r="G30" s="168">
        <f t="shared" si="9"/>
        <v>4</v>
      </c>
      <c r="H30" s="168">
        <f t="shared" si="9"/>
        <v>-1</v>
      </c>
      <c r="I30" s="168">
        <f t="shared" si="9"/>
        <v>11</v>
      </c>
      <c r="J30" s="168">
        <f t="shared" si="9"/>
        <v>-5</v>
      </c>
      <c r="K30" s="168">
        <f t="shared" si="9"/>
        <v>4</v>
      </c>
      <c r="L30" s="168">
        <f t="shared" si="9"/>
        <v>8</v>
      </c>
    </row>
    <row r="31" spans="2:23" x14ac:dyDescent="0.45">
      <c r="B31" s="139" t="s">
        <v>81</v>
      </c>
      <c r="C31" s="168">
        <f t="shared" ref="C31:L31" si="10">C$22-C11</f>
        <v>28</v>
      </c>
      <c r="D31" s="168">
        <f t="shared" si="10"/>
        <v>7</v>
      </c>
      <c r="E31" s="168">
        <f t="shared" si="10"/>
        <v>0</v>
      </c>
      <c r="F31" s="168">
        <f t="shared" si="10"/>
        <v>6</v>
      </c>
      <c r="G31" s="168">
        <f t="shared" si="10"/>
        <v>2</v>
      </c>
      <c r="H31" s="168">
        <f t="shared" si="10"/>
        <v>-5</v>
      </c>
      <c r="I31" s="168">
        <f t="shared" si="10"/>
        <v>11</v>
      </c>
      <c r="J31" s="168">
        <f t="shared" si="10"/>
        <v>-2</v>
      </c>
      <c r="K31" s="168">
        <f t="shared" si="10"/>
        <v>3</v>
      </c>
      <c r="L31" s="168">
        <f t="shared" si="10"/>
        <v>8</v>
      </c>
    </row>
    <row r="32" spans="2:23" x14ac:dyDescent="0.45">
      <c r="B32" s="139" t="s">
        <v>83</v>
      </c>
      <c r="C32" s="168">
        <f t="shared" ref="C32:L32" si="11">C$22-C13</f>
        <v>27</v>
      </c>
      <c r="D32" s="168">
        <f t="shared" si="11"/>
        <v>4</v>
      </c>
      <c r="E32" s="168">
        <f t="shared" si="11"/>
        <v>0</v>
      </c>
      <c r="F32" s="168">
        <f t="shared" si="11"/>
        <v>5</v>
      </c>
      <c r="G32" s="168">
        <f t="shared" si="11"/>
        <v>1</v>
      </c>
      <c r="H32" s="168">
        <f t="shared" si="11"/>
        <v>0</v>
      </c>
      <c r="I32" s="168">
        <f t="shared" si="11"/>
        <v>10</v>
      </c>
      <c r="J32" s="168">
        <f t="shared" si="11"/>
        <v>0</v>
      </c>
      <c r="K32" s="168">
        <f t="shared" si="11"/>
        <v>2</v>
      </c>
      <c r="L32" s="168">
        <f t="shared" si="11"/>
        <v>8</v>
      </c>
    </row>
    <row r="33" spans="2:12" x14ac:dyDescent="0.45">
      <c r="B33" s="139" t="s">
        <v>85</v>
      </c>
      <c r="C33" s="168">
        <f t="shared" ref="C33:L33" si="12">C$22-C14</f>
        <v>28</v>
      </c>
      <c r="D33" s="168">
        <f t="shared" si="12"/>
        <v>6</v>
      </c>
      <c r="E33" s="168">
        <f t="shared" si="12"/>
        <v>0</v>
      </c>
      <c r="F33" s="168">
        <f t="shared" si="12"/>
        <v>1</v>
      </c>
      <c r="G33" s="168">
        <f t="shared" si="12"/>
        <v>2</v>
      </c>
      <c r="H33" s="168">
        <f t="shared" si="12"/>
        <v>0</v>
      </c>
      <c r="I33" s="168">
        <f t="shared" si="12"/>
        <v>12</v>
      </c>
      <c r="J33" s="168">
        <f t="shared" si="12"/>
        <v>-2</v>
      </c>
      <c r="K33" s="168">
        <f t="shared" si="12"/>
        <v>2</v>
      </c>
      <c r="L33" s="168">
        <f t="shared" si="12"/>
        <v>8</v>
      </c>
    </row>
    <row r="34" spans="2:12" x14ac:dyDescent="0.45">
      <c r="B34" s="169" t="s">
        <v>87</v>
      </c>
      <c r="C34" s="168">
        <f t="shared" ref="C34:L34" si="13">C$22-C15</f>
        <v>28</v>
      </c>
      <c r="D34" s="168">
        <f t="shared" si="13"/>
        <v>5</v>
      </c>
      <c r="E34" s="168">
        <f t="shared" si="13"/>
        <v>0</v>
      </c>
      <c r="F34" s="168">
        <f t="shared" si="13"/>
        <v>3</v>
      </c>
      <c r="G34" s="168">
        <f t="shared" si="13"/>
        <v>2</v>
      </c>
      <c r="H34" s="168">
        <f t="shared" si="13"/>
        <v>-1</v>
      </c>
      <c r="I34" s="168">
        <f t="shared" si="13"/>
        <v>11</v>
      </c>
      <c r="J34" s="168">
        <f t="shared" si="13"/>
        <v>-2</v>
      </c>
      <c r="K34" s="168">
        <f t="shared" si="13"/>
        <v>4</v>
      </c>
      <c r="L34" s="168">
        <f t="shared" si="13"/>
        <v>8</v>
      </c>
    </row>
    <row r="35" spans="2:12" x14ac:dyDescent="0.45">
      <c r="B35" s="141" t="s">
        <v>89</v>
      </c>
      <c r="C35" s="168">
        <f t="shared" ref="C35:L35" si="14">C$22-C16</f>
        <v>27</v>
      </c>
      <c r="D35" s="168">
        <f t="shared" si="14"/>
        <v>5</v>
      </c>
      <c r="E35" s="168">
        <f t="shared" si="14"/>
        <v>0</v>
      </c>
      <c r="F35" s="168">
        <f t="shared" si="14"/>
        <v>5</v>
      </c>
      <c r="G35" s="168">
        <f t="shared" si="14"/>
        <v>4</v>
      </c>
      <c r="H35" s="168">
        <f t="shared" si="14"/>
        <v>-1</v>
      </c>
      <c r="I35" s="168">
        <f t="shared" si="14"/>
        <v>8</v>
      </c>
      <c r="J35" s="168">
        <f t="shared" si="14"/>
        <v>-2</v>
      </c>
      <c r="K35" s="168">
        <f t="shared" si="14"/>
        <v>4</v>
      </c>
      <c r="L35" s="168">
        <f t="shared" si="14"/>
        <v>8</v>
      </c>
    </row>
    <row r="36" spans="2:12" x14ac:dyDescent="0.45">
      <c r="B36" s="141" t="s">
        <v>91</v>
      </c>
      <c r="C36" s="168">
        <f t="shared" ref="C36:L36" si="15">C$22-C18</f>
        <v>27</v>
      </c>
      <c r="D36" s="168">
        <f t="shared" si="15"/>
        <v>4</v>
      </c>
      <c r="E36" s="168">
        <f t="shared" si="15"/>
        <v>-1</v>
      </c>
      <c r="F36" s="168">
        <f t="shared" si="15"/>
        <v>5</v>
      </c>
      <c r="G36" s="168">
        <f t="shared" si="15"/>
        <v>2</v>
      </c>
      <c r="H36" s="168">
        <f t="shared" si="15"/>
        <v>-1</v>
      </c>
      <c r="I36" s="168">
        <f t="shared" si="15"/>
        <v>10</v>
      </c>
      <c r="J36" s="168">
        <f t="shared" si="15"/>
        <v>0</v>
      </c>
      <c r="K36" s="168">
        <f t="shared" si="15"/>
        <v>4</v>
      </c>
      <c r="L36" s="168">
        <f t="shared" si="15"/>
        <v>8</v>
      </c>
    </row>
    <row r="37" spans="2:12" x14ac:dyDescent="0.45">
      <c r="B37" s="141" t="s">
        <v>92</v>
      </c>
      <c r="C37" s="168">
        <f t="shared" ref="C37:L37" si="16">C$22-C19</f>
        <v>27</v>
      </c>
      <c r="D37" s="168">
        <f t="shared" si="16"/>
        <v>6</v>
      </c>
      <c r="E37" s="168">
        <f t="shared" si="16"/>
        <v>-3</v>
      </c>
      <c r="F37" s="168">
        <f t="shared" si="16"/>
        <v>4</v>
      </c>
      <c r="G37" s="168">
        <f t="shared" si="16"/>
        <v>3</v>
      </c>
      <c r="H37" s="168">
        <f t="shared" si="16"/>
        <v>-1</v>
      </c>
      <c r="I37" s="168">
        <f t="shared" si="16"/>
        <v>13</v>
      </c>
      <c r="J37" s="168">
        <f t="shared" si="16"/>
        <v>-3</v>
      </c>
      <c r="K37" s="168">
        <f t="shared" si="16"/>
        <v>4</v>
      </c>
      <c r="L37" s="168">
        <f t="shared" si="16"/>
        <v>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0400-03A5-4896-B2CB-AB4D169B5576}">
  <dimension ref="B2:K47"/>
  <sheetViews>
    <sheetView tabSelected="1" workbookViewId="0">
      <pane ySplit="2" topLeftCell="A18" activePane="bottomLeft" state="frozen"/>
      <selection pane="bottomLeft" activeCell="H9" sqref="H9"/>
    </sheetView>
  </sheetViews>
  <sheetFormatPr defaultRowHeight="18" x14ac:dyDescent="0.45"/>
  <cols>
    <col min="2" max="2" width="19.09765625" bestFit="1" customWidth="1"/>
  </cols>
  <sheetData>
    <row r="2" spans="2:11" x14ac:dyDescent="0.45">
      <c r="C2" s="108" t="s">
        <v>103</v>
      </c>
      <c r="D2" s="104" t="s">
        <v>104</v>
      </c>
      <c r="E2" s="212" t="s">
        <v>105</v>
      </c>
      <c r="F2" s="14" t="s">
        <v>107</v>
      </c>
      <c r="G2" s="213" t="s">
        <v>106</v>
      </c>
      <c r="H2" s="215" t="s">
        <v>156</v>
      </c>
      <c r="I2" s="215" t="s">
        <v>157</v>
      </c>
      <c r="J2" s="215" t="s">
        <v>158</v>
      </c>
      <c r="K2" s="214" t="s">
        <v>108</v>
      </c>
    </row>
    <row r="3" spans="2:11" x14ac:dyDescent="0.45">
      <c r="B3" s="211" t="s">
        <v>109</v>
      </c>
      <c r="C3" s="211" t="s">
        <v>150</v>
      </c>
      <c r="D3" s="211"/>
      <c r="E3" s="211"/>
      <c r="F3" s="211"/>
      <c r="G3" s="211"/>
      <c r="H3" s="211"/>
      <c r="I3" s="211"/>
      <c r="J3" s="211"/>
      <c r="K3" s="211"/>
    </row>
    <row r="4" spans="2:11" x14ac:dyDescent="0.45">
      <c r="B4" s="211" t="s">
        <v>152</v>
      </c>
      <c r="C4" s="211" t="s">
        <v>151</v>
      </c>
      <c r="D4" s="211"/>
      <c r="E4" s="211"/>
      <c r="F4" s="211"/>
      <c r="G4" s="211"/>
      <c r="H4" s="211"/>
      <c r="I4" s="211"/>
      <c r="J4" s="211"/>
      <c r="K4" s="211"/>
    </row>
    <row r="5" spans="2:11" x14ac:dyDescent="0.45">
      <c r="B5" s="211" t="s">
        <v>153</v>
      </c>
      <c r="C5" s="211" t="s">
        <v>150</v>
      </c>
      <c r="D5" s="211"/>
      <c r="E5" s="211"/>
      <c r="F5" s="211"/>
      <c r="G5" s="211"/>
      <c r="H5" s="211"/>
      <c r="I5" s="211"/>
      <c r="J5" s="211"/>
      <c r="K5" s="211"/>
    </row>
    <row r="6" spans="2:11" x14ac:dyDescent="0.45">
      <c r="B6" s="211" t="s">
        <v>110</v>
      </c>
      <c r="C6" s="211" t="s">
        <v>150</v>
      </c>
      <c r="D6" s="211"/>
      <c r="E6" s="211"/>
      <c r="F6" s="211" t="s">
        <v>154</v>
      </c>
      <c r="G6" s="211"/>
      <c r="H6" s="211"/>
      <c r="I6" s="211"/>
      <c r="J6" s="211"/>
      <c r="K6" s="211"/>
    </row>
    <row r="7" spans="2:11" x14ac:dyDescent="0.45">
      <c r="B7" s="211" t="s">
        <v>116</v>
      </c>
      <c r="C7" s="211" t="s">
        <v>151</v>
      </c>
      <c r="D7" s="211"/>
      <c r="E7" s="211"/>
      <c r="F7" s="211"/>
      <c r="G7" s="211"/>
      <c r="H7" s="211"/>
      <c r="I7" s="211"/>
      <c r="J7" s="211"/>
      <c r="K7" s="211"/>
    </row>
    <row r="8" spans="2:11" x14ac:dyDescent="0.45">
      <c r="B8" s="211" t="s">
        <v>111</v>
      </c>
      <c r="C8" s="211"/>
      <c r="D8" s="211" t="s">
        <v>154</v>
      </c>
      <c r="E8" s="211"/>
      <c r="F8" s="211"/>
      <c r="G8" s="211"/>
      <c r="H8" s="211"/>
      <c r="I8" s="211"/>
      <c r="J8" s="211"/>
      <c r="K8" s="211"/>
    </row>
    <row r="9" spans="2:11" x14ac:dyDescent="0.45">
      <c r="B9" s="211" t="s">
        <v>115</v>
      </c>
      <c r="C9" s="211"/>
      <c r="D9" s="211"/>
      <c r="E9" s="211"/>
      <c r="F9" s="211"/>
      <c r="G9" s="211"/>
      <c r="H9" s="211" t="s">
        <v>154</v>
      </c>
      <c r="I9" s="211" t="s">
        <v>154</v>
      </c>
      <c r="J9" s="211" t="s">
        <v>149</v>
      </c>
      <c r="K9" s="211"/>
    </row>
    <row r="10" spans="2:11" x14ac:dyDescent="0.45">
      <c r="B10" s="211" t="s">
        <v>112</v>
      </c>
      <c r="C10" s="211"/>
      <c r="D10" s="211" t="s">
        <v>150</v>
      </c>
      <c r="E10" s="211"/>
      <c r="F10" s="211"/>
      <c r="G10" s="211"/>
      <c r="H10" s="211"/>
      <c r="I10" s="211"/>
      <c r="J10" s="211"/>
      <c r="K10" s="211"/>
    </row>
    <row r="11" spans="2:11" x14ac:dyDescent="0.45">
      <c r="B11" s="211" t="s">
        <v>113</v>
      </c>
      <c r="C11" s="211" t="s">
        <v>154</v>
      </c>
      <c r="D11" s="211" t="s">
        <v>149</v>
      </c>
      <c r="E11" s="211" t="s">
        <v>154</v>
      </c>
      <c r="F11" s="211"/>
      <c r="G11" s="211"/>
      <c r="H11" s="211"/>
      <c r="I11" s="211"/>
      <c r="J11" s="211"/>
      <c r="K11" s="211"/>
    </row>
    <row r="12" spans="2:11" x14ac:dyDescent="0.45">
      <c r="B12" s="211" t="s">
        <v>114</v>
      </c>
      <c r="C12" s="211"/>
      <c r="D12" s="211"/>
      <c r="E12" s="211" t="s">
        <v>154</v>
      </c>
      <c r="F12" s="211" t="s">
        <v>154</v>
      </c>
      <c r="G12" s="211"/>
      <c r="H12" s="211"/>
      <c r="I12" s="211"/>
      <c r="J12" s="211"/>
      <c r="K12" s="211"/>
    </row>
    <row r="13" spans="2:11" x14ac:dyDescent="0.45">
      <c r="B13" s="211" t="s">
        <v>117</v>
      </c>
      <c r="C13" s="211"/>
      <c r="D13" s="211"/>
      <c r="E13" s="211" t="s">
        <v>149</v>
      </c>
      <c r="F13" s="211" t="s">
        <v>149</v>
      </c>
      <c r="G13" s="211"/>
      <c r="H13" s="211"/>
      <c r="I13" s="211"/>
      <c r="J13" s="211"/>
      <c r="K13" s="211"/>
    </row>
    <row r="14" spans="2:11" x14ac:dyDescent="0.45">
      <c r="B14" s="211" t="s">
        <v>118</v>
      </c>
      <c r="C14" s="211"/>
      <c r="D14" s="211"/>
      <c r="E14" s="211"/>
      <c r="F14" s="211"/>
      <c r="G14" s="211"/>
      <c r="H14" s="211"/>
      <c r="I14" s="211"/>
      <c r="J14" s="211"/>
      <c r="K14" s="211" t="s">
        <v>154</v>
      </c>
    </row>
    <row r="15" spans="2:11" x14ac:dyDescent="0.45">
      <c r="B15" s="211" t="s">
        <v>119</v>
      </c>
      <c r="C15" s="211"/>
      <c r="D15" s="211"/>
      <c r="E15" s="211"/>
      <c r="F15" s="211"/>
      <c r="G15" s="211"/>
      <c r="H15" s="211" t="s">
        <v>150</v>
      </c>
      <c r="I15" s="211" t="s">
        <v>149</v>
      </c>
      <c r="J15" s="211" t="s">
        <v>154</v>
      </c>
      <c r="K15" s="211" t="s">
        <v>149</v>
      </c>
    </row>
    <row r="16" spans="2:11" x14ac:dyDescent="0.45">
      <c r="B16" s="211" t="s">
        <v>120</v>
      </c>
      <c r="C16" s="211"/>
      <c r="D16" s="211"/>
      <c r="E16" s="211"/>
      <c r="F16" s="211"/>
      <c r="G16" s="211"/>
      <c r="H16" s="211" t="s">
        <v>154</v>
      </c>
      <c r="I16" s="211" t="s">
        <v>151</v>
      </c>
      <c r="J16" s="211" t="s">
        <v>151</v>
      </c>
      <c r="K16" s="211" t="s">
        <v>150</v>
      </c>
    </row>
    <row r="17" spans="2:11" x14ac:dyDescent="0.45">
      <c r="B17" s="211" t="s">
        <v>121</v>
      </c>
      <c r="C17" s="211"/>
      <c r="D17" s="211" t="s">
        <v>154</v>
      </c>
      <c r="E17" s="211"/>
      <c r="F17" s="211"/>
      <c r="G17" s="211"/>
      <c r="H17" s="211"/>
      <c r="I17" s="211"/>
      <c r="J17" s="211"/>
      <c r="K17" s="211"/>
    </row>
    <row r="18" spans="2:11" x14ac:dyDescent="0.45">
      <c r="B18" s="211" t="s">
        <v>122</v>
      </c>
      <c r="C18" s="211"/>
      <c r="D18" s="211" t="s">
        <v>150</v>
      </c>
      <c r="E18" s="211"/>
      <c r="F18" s="211"/>
      <c r="G18" s="211"/>
      <c r="H18" s="211"/>
      <c r="I18" s="211"/>
      <c r="J18" s="211"/>
      <c r="K18" s="211"/>
    </row>
    <row r="19" spans="2:11" x14ac:dyDescent="0.45">
      <c r="B19" s="211" t="s">
        <v>155</v>
      </c>
      <c r="C19" s="211" t="s">
        <v>154</v>
      </c>
      <c r="D19" s="211"/>
      <c r="E19" s="211"/>
      <c r="F19" s="211"/>
      <c r="G19" s="211"/>
      <c r="H19" s="211"/>
      <c r="I19" s="211"/>
      <c r="J19" s="211"/>
      <c r="K19" s="211"/>
    </row>
    <row r="20" spans="2:11" x14ac:dyDescent="0.45">
      <c r="B20" s="211" t="s">
        <v>123</v>
      </c>
      <c r="C20" s="211"/>
      <c r="D20" s="211" t="s">
        <v>154</v>
      </c>
      <c r="E20" s="211"/>
      <c r="F20" s="211"/>
      <c r="G20" s="211"/>
      <c r="H20" s="211"/>
      <c r="I20" s="211"/>
      <c r="J20" s="211"/>
      <c r="K20" s="211"/>
    </row>
    <row r="21" spans="2:11" x14ac:dyDescent="0.45">
      <c r="B21" s="211" t="s">
        <v>124</v>
      </c>
      <c r="C21" s="211"/>
      <c r="D21" s="211"/>
      <c r="E21" s="211" t="s">
        <v>154</v>
      </c>
      <c r="F21" s="211"/>
      <c r="G21" s="211"/>
      <c r="H21" s="211"/>
      <c r="I21" s="211"/>
      <c r="J21" s="211"/>
      <c r="K21" s="211"/>
    </row>
    <row r="22" spans="2:11" x14ac:dyDescent="0.45">
      <c r="B22" s="211" t="s">
        <v>125</v>
      </c>
      <c r="C22" s="211"/>
      <c r="D22" s="211" t="s">
        <v>149</v>
      </c>
      <c r="E22" s="211" t="s">
        <v>149</v>
      </c>
      <c r="F22" s="211"/>
      <c r="G22" s="211"/>
      <c r="H22" s="211"/>
      <c r="I22" s="211"/>
      <c r="J22" s="211"/>
      <c r="K22" s="211"/>
    </row>
    <row r="23" spans="2:11" x14ac:dyDescent="0.45">
      <c r="B23" s="211" t="s">
        <v>126</v>
      </c>
      <c r="C23" s="211"/>
      <c r="D23" s="211"/>
      <c r="E23" s="211"/>
      <c r="F23" s="211"/>
      <c r="G23" s="211"/>
      <c r="H23" s="211" t="s">
        <v>150</v>
      </c>
      <c r="I23" s="211"/>
      <c r="J23" s="211"/>
      <c r="K23" s="211"/>
    </row>
    <row r="24" spans="2:11" x14ac:dyDescent="0.45">
      <c r="B24" s="211" t="s">
        <v>127</v>
      </c>
      <c r="C24" s="211"/>
      <c r="D24" s="211"/>
      <c r="E24" s="211"/>
      <c r="F24" s="211"/>
      <c r="G24" s="211"/>
      <c r="H24" s="211" t="s">
        <v>150</v>
      </c>
      <c r="I24" s="211"/>
      <c r="J24" s="211"/>
      <c r="K24" s="211" t="s">
        <v>154</v>
      </c>
    </row>
    <row r="25" spans="2:11" x14ac:dyDescent="0.45">
      <c r="B25" s="211" t="s">
        <v>128</v>
      </c>
      <c r="C25" s="211"/>
      <c r="D25" s="211"/>
      <c r="E25" s="211" t="s">
        <v>154</v>
      </c>
      <c r="F25" s="211"/>
      <c r="G25" s="211"/>
      <c r="H25" s="211"/>
      <c r="I25" s="211"/>
      <c r="J25" s="211"/>
      <c r="K25" s="211"/>
    </row>
    <row r="26" spans="2:11" x14ac:dyDescent="0.45">
      <c r="B26" s="211" t="s">
        <v>129</v>
      </c>
      <c r="C26" s="211"/>
      <c r="D26" s="211"/>
      <c r="E26" s="211"/>
      <c r="F26" s="211"/>
      <c r="G26" s="211" t="s">
        <v>154</v>
      </c>
      <c r="H26" s="211"/>
      <c r="I26" s="211"/>
      <c r="J26" s="211"/>
      <c r="K26" s="211"/>
    </row>
    <row r="27" spans="2:11" x14ac:dyDescent="0.45">
      <c r="B27" s="211" t="s">
        <v>130</v>
      </c>
      <c r="C27" s="211"/>
      <c r="D27" s="211"/>
      <c r="E27" s="211"/>
      <c r="F27" s="211"/>
      <c r="G27" s="211" t="s">
        <v>150</v>
      </c>
      <c r="H27" s="211"/>
      <c r="I27" s="211"/>
      <c r="J27" s="211"/>
      <c r="K27" s="211"/>
    </row>
    <row r="28" spans="2:11" x14ac:dyDescent="0.45">
      <c r="B28" s="211" t="s">
        <v>131</v>
      </c>
      <c r="C28" s="211"/>
      <c r="D28" s="211"/>
      <c r="E28" s="211"/>
      <c r="F28" s="211" t="s">
        <v>151</v>
      </c>
      <c r="G28" s="211"/>
      <c r="H28" s="211"/>
      <c r="I28" s="211"/>
      <c r="J28" s="211"/>
      <c r="K28" s="211"/>
    </row>
    <row r="29" spans="2:11" x14ac:dyDescent="0.45">
      <c r="B29" s="211" t="s">
        <v>132</v>
      </c>
      <c r="C29" s="211"/>
      <c r="D29" s="211"/>
      <c r="E29" s="211"/>
      <c r="F29" s="211" t="s">
        <v>154</v>
      </c>
      <c r="G29" s="211"/>
      <c r="H29" s="211"/>
      <c r="I29" s="211"/>
      <c r="J29" s="211"/>
      <c r="K29" s="211"/>
    </row>
    <row r="30" spans="2:11" x14ac:dyDescent="0.45">
      <c r="B30" s="211" t="s">
        <v>133</v>
      </c>
      <c r="C30" s="211" t="s">
        <v>154</v>
      </c>
      <c r="D30" s="211"/>
      <c r="E30" s="211"/>
      <c r="F30" s="211"/>
      <c r="G30" s="211"/>
      <c r="H30" s="211"/>
      <c r="I30" s="211"/>
      <c r="J30" s="211"/>
      <c r="K30" s="211"/>
    </row>
    <row r="31" spans="2:11" x14ac:dyDescent="0.45">
      <c r="B31" s="211" t="s">
        <v>134</v>
      </c>
      <c r="C31" s="211" t="s">
        <v>150</v>
      </c>
      <c r="D31" s="211"/>
      <c r="E31" s="211"/>
      <c r="F31" s="211"/>
      <c r="G31" s="211"/>
      <c r="H31" s="211"/>
      <c r="I31" s="211"/>
      <c r="J31" s="211"/>
      <c r="K31" s="211"/>
    </row>
    <row r="32" spans="2:11" x14ac:dyDescent="0.45">
      <c r="B32" s="211" t="s">
        <v>135</v>
      </c>
      <c r="C32" s="211"/>
      <c r="D32" s="211"/>
      <c r="E32" s="211"/>
      <c r="F32" s="211"/>
      <c r="G32" s="211"/>
      <c r="H32" s="211" t="s">
        <v>154</v>
      </c>
      <c r="I32" s="211" t="s">
        <v>154</v>
      </c>
      <c r="J32" s="211" t="s">
        <v>154</v>
      </c>
      <c r="K32" s="211"/>
    </row>
    <row r="33" spans="2:11" x14ac:dyDescent="0.45">
      <c r="B33" s="211" t="s">
        <v>136</v>
      </c>
      <c r="C33" s="211"/>
      <c r="D33" s="211"/>
      <c r="E33" s="211"/>
      <c r="F33" s="211"/>
      <c r="G33" s="211" t="s">
        <v>154</v>
      </c>
      <c r="H33" s="211"/>
      <c r="I33" s="211"/>
      <c r="J33" s="211"/>
      <c r="K33" s="211"/>
    </row>
    <row r="34" spans="2:11" x14ac:dyDescent="0.45">
      <c r="B34" s="211" t="s">
        <v>137</v>
      </c>
      <c r="C34" s="211"/>
      <c r="D34" s="211"/>
      <c r="E34" s="211"/>
      <c r="F34" s="211"/>
      <c r="G34" s="211" t="s">
        <v>154</v>
      </c>
      <c r="H34" s="211"/>
      <c r="I34" s="211"/>
      <c r="J34" s="211"/>
      <c r="K34" s="211"/>
    </row>
    <row r="35" spans="2:11" x14ac:dyDescent="0.45">
      <c r="B35" s="211" t="s">
        <v>138</v>
      </c>
      <c r="C35" s="211"/>
      <c r="D35" s="211"/>
      <c r="E35" s="211"/>
      <c r="F35" s="211"/>
      <c r="G35" s="211" t="s">
        <v>149</v>
      </c>
      <c r="H35" s="211"/>
      <c r="I35" s="211"/>
      <c r="J35" s="211"/>
      <c r="K35" s="211"/>
    </row>
    <row r="36" spans="2:11" x14ac:dyDescent="0.45">
      <c r="B36" s="211" t="s">
        <v>139</v>
      </c>
      <c r="C36" s="211" t="s">
        <v>154</v>
      </c>
      <c r="D36" s="211"/>
      <c r="E36" s="211"/>
      <c r="F36" s="211"/>
      <c r="G36" s="211"/>
      <c r="H36" s="211" t="s">
        <v>154</v>
      </c>
      <c r="I36" s="211" t="s">
        <v>154</v>
      </c>
      <c r="J36" s="211" t="s">
        <v>154</v>
      </c>
      <c r="K36" s="211"/>
    </row>
    <row r="37" spans="2:11" x14ac:dyDescent="0.45">
      <c r="B37" s="211" t="s">
        <v>140</v>
      </c>
      <c r="C37" s="211" t="s">
        <v>154</v>
      </c>
      <c r="D37" s="211"/>
      <c r="E37" s="211"/>
      <c r="F37" s="211"/>
      <c r="G37" s="211"/>
      <c r="H37" s="211" t="s">
        <v>154</v>
      </c>
      <c r="I37" s="211"/>
      <c r="J37" s="211" t="s">
        <v>154</v>
      </c>
      <c r="K37" s="211" t="s">
        <v>154</v>
      </c>
    </row>
    <row r="38" spans="2:11" x14ac:dyDescent="0.45">
      <c r="B38" s="211" t="s">
        <v>141</v>
      </c>
      <c r="C38" s="211" t="s">
        <v>149</v>
      </c>
      <c r="D38" s="211"/>
      <c r="E38" s="211"/>
      <c r="F38" s="211"/>
      <c r="G38" s="211"/>
      <c r="H38" s="211" t="s">
        <v>149</v>
      </c>
      <c r="I38" s="211" t="s">
        <v>151</v>
      </c>
      <c r="J38" s="211"/>
      <c r="K38" s="211"/>
    </row>
    <row r="39" spans="2:11" x14ac:dyDescent="0.45">
      <c r="B39" s="211" t="s">
        <v>142</v>
      </c>
      <c r="C39" s="211" t="s">
        <v>154</v>
      </c>
      <c r="D39" s="211" t="s">
        <v>154</v>
      </c>
      <c r="E39" s="211"/>
      <c r="F39" s="211"/>
      <c r="G39" s="211"/>
      <c r="H39" s="211"/>
      <c r="I39" s="211"/>
      <c r="J39" s="211"/>
      <c r="K39" s="211"/>
    </row>
    <row r="40" spans="2:11" x14ac:dyDescent="0.45">
      <c r="B40" s="211" t="s">
        <v>100</v>
      </c>
      <c r="C40" s="211" t="s">
        <v>149</v>
      </c>
      <c r="D40" s="211" t="s">
        <v>149</v>
      </c>
      <c r="E40" s="211"/>
      <c r="F40" s="211"/>
      <c r="G40" s="211"/>
      <c r="H40" s="211"/>
      <c r="I40" s="211"/>
      <c r="J40" s="211"/>
      <c r="K40" s="211"/>
    </row>
    <row r="41" spans="2:11" x14ac:dyDescent="0.45">
      <c r="B41" s="211" t="s">
        <v>143</v>
      </c>
      <c r="C41" s="211" t="s">
        <v>149</v>
      </c>
      <c r="D41" s="211"/>
      <c r="E41" s="211"/>
      <c r="F41" s="211" t="s">
        <v>154</v>
      </c>
      <c r="G41" s="211"/>
      <c r="H41" s="211"/>
      <c r="I41" s="211"/>
      <c r="J41" s="211"/>
      <c r="K41" s="211"/>
    </row>
    <row r="42" spans="2:11" x14ac:dyDescent="0.45">
      <c r="B42" s="211" t="s">
        <v>144</v>
      </c>
      <c r="C42" s="211"/>
      <c r="D42" s="211"/>
      <c r="E42" s="211"/>
      <c r="F42" s="211"/>
      <c r="G42" s="211"/>
      <c r="H42" s="211"/>
      <c r="I42" s="211"/>
      <c r="J42" s="211"/>
      <c r="K42" s="211"/>
    </row>
    <row r="43" spans="2:11" x14ac:dyDescent="0.45">
      <c r="B43" s="211" t="s">
        <v>145</v>
      </c>
      <c r="C43" s="211" t="s">
        <v>150</v>
      </c>
      <c r="D43" s="211"/>
      <c r="E43" s="211"/>
      <c r="F43" s="211"/>
      <c r="G43" s="211"/>
      <c r="H43" s="211"/>
      <c r="I43" s="211"/>
      <c r="J43" s="211"/>
      <c r="K43" s="211"/>
    </row>
    <row r="44" spans="2:11" x14ac:dyDescent="0.45">
      <c r="B44" s="211" t="s">
        <v>146</v>
      </c>
      <c r="C44" s="211"/>
      <c r="D44" s="211" t="s">
        <v>149</v>
      </c>
      <c r="E44" s="211" t="s">
        <v>154</v>
      </c>
      <c r="F44" s="211"/>
      <c r="G44" s="211"/>
      <c r="H44" s="211"/>
      <c r="I44" s="211"/>
      <c r="J44" s="211"/>
      <c r="K44" s="211"/>
    </row>
    <row r="45" spans="2:11" x14ac:dyDescent="0.45">
      <c r="B45" s="211" t="s">
        <v>98</v>
      </c>
      <c r="C45" s="211"/>
      <c r="D45" s="211"/>
      <c r="E45" s="211" t="s">
        <v>154</v>
      </c>
      <c r="F45" s="211"/>
      <c r="G45" s="211"/>
      <c r="H45" s="211"/>
      <c r="I45" s="211" t="s">
        <v>149</v>
      </c>
      <c r="J45" s="211" t="s">
        <v>154</v>
      </c>
      <c r="K45" s="211"/>
    </row>
    <row r="46" spans="2:11" x14ac:dyDescent="0.45">
      <c r="B46" s="211" t="s">
        <v>147</v>
      </c>
      <c r="C46" s="211"/>
      <c r="D46" s="211"/>
      <c r="E46" s="211"/>
      <c r="F46" s="211" t="s">
        <v>150</v>
      </c>
      <c r="G46" s="211"/>
      <c r="H46" s="211"/>
      <c r="I46" s="211"/>
      <c r="J46" s="211"/>
      <c r="K46" s="211" t="s">
        <v>149</v>
      </c>
    </row>
    <row r="47" spans="2:11" x14ac:dyDescent="0.45">
      <c r="B47" s="211" t="s">
        <v>148</v>
      </c>
      <c r="C47" s="211"/>
      <c r="D47" s="211" t="s">
        <v>150</v>
      </c>
      <c r="E47" s="211"/>
      <c r="F47" s="211"/>
      <c r="G47" s="211"/>
      <c r="H47" s="211"/>
      <c r="I47" s="211"/>
      <c r="J47" s="211"/>
      <c r="K47" s="21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能力</vt:lpstr>
      <vt:lpstr>成長率</vt:lpstr>
      <vt:lpstr>転生後成長率</vt:lpstr>
      <vt:lpstr>掲載用</vt:lpstr>
      <vt:lpstr>転生後能力</vt:lpstr>
      <vt:lpstr>期待値</vt:lpstr>
      <vt:lpstr>全部</vt:lpstr>
      <vt:lpstr>CC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e2019026</dc:creator>
  <cp:keywords/>
  <dc:description/>
  <cp:lastModifiedBy>公式 ハリー・ケイン</cp:lastModifiedBy>
  <cp:revision/>
  <dcterms:created xsi:type="dcterms:W3CDTF">2025-01-21T12:07:02Z</dcterms:created>
  <dcterms:modified xsi:type="dcterms:W3CDTF">2026-01-12T15:44:26Z</dcterms:modified>
  <cp:category/>
  <cp:contentStatus/>
</cp:coreProperties>
</file>